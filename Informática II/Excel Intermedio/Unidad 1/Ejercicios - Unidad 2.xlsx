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 BERTOTTI.FABIAN\Desktop\"/>
    </mc:Choice>
  </mc:AlternateContent>
  <xr:revisionPtr revIDLastSave="0" documentId="13_ncr:1_{66194C54-B29B-4EB1-9ABB-39D5D54ADAE0}" xr6:coauthVersionLast="47" xr6:coauthVersionMax="47" xr10:uidLastSave="{00000000-0000-0000-0000-000000000000}"/>
  <bookViews>
    <workbookView xWindow="-120" yWindow="-120" windowWidth="20730" windowHeight="11040" tabRatio="719" xr2:uid="{37C2D74F-C7E5-409E-94C7-B0A7870FC0A5}"/>
  </bookViews>
  <sheets>
    <sheet name="Consignas" sheetId="1" r:id="rId1"/>
    <sheet name="Ejercicio 1" sheetId="2" r:id="rId2"/>
    <sheet name="Ejercicio 2" sheetId="7" r:id="rId3"/>
    <sheet name="Sucursal 1" sheetId="4" r:id="rId4"/>
    <sheet name="Sucursal 2" sheetId="5" r:id="rId5"/>
    <sheet name="Sucursal 3" sheetId="6" r:id="rId6"/>
    <sheet name="Resumen - Notas" sheetId="14" r:id="rId7"/>
    <sheet name="Matemática" sheetId="8" r:id="rId8"/>
    <sheet name="Historia" sheetId="9" r:id="rId9"/>
    <sheet name="Biología" sheetId="10" r:id="rId10"/>
    <sheet name="Resumen anual - Ventas" sheetId="15" r:id="rId11"/>
    <sheet name="Enero" sheetId="16" r:id="rId12"/>
    <sheet name="Febrero" sheetId="17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C3" i="15"/>
  <c r="C4" i="15"/>
  <c r="C5" i="15"/>
  <c r="C6" i="15"/>
  <c r="C7" i="15"/>
  <c r="C8" i="15"/>
  <c r="C10" i="15" s="1"/>
  <c r="C9" i="15"/>
  <c r="C13" i="14"/>
  <c r="C9" i="14"/>
  <c r="C2" i="14"/>
  <c r="C5" i="14" s="1"/>
  <c r="C3" i="14"/>
  <c r="C4" i="14"/>
  <c r="C6" i="14"/>
  <c r="C7" i="14"/>
  <c r="C8" i="14"/>
  <c r="C10" i="14"/>
  <c r="C11" i="14"/>
  <c r="C12" i="14"/>
  <c r="D5" i="6"/>
  <c r="B6" i="7" s="1"/>
  <c r="D3" i="6"/>
  <c r="D4" i="6"/>
  <c r="D2" i="6"/>
  <c r="D5" i="5"/>
  <c r="A2" i="7" s="1"/>
  <c r="D3" i="5"/>
  <c r="D4" i="5"/>
  <c r="D2" i="5"/>
  <c r="D4" i="4"/>
  <c r="D3" i="4"/>
  <c r="D2" i="4"/>
  <c r="D5" i="4" s="1"/>
  <c r="B4" i="7" s="1"/>
  <c r="A3" i="7" l="1"/>
  <c r="B5" i="7"/>
  <c r="A1" i="7"/>
  <c r="A14" i="7" s="1"/>
</calcChain>
</file>

<file path=xl/sharedStrings.xml><?xml version="1.0" encoding="utf-8"?>
<sst xmlns="http://schemas.openxmlformats.org/spreadsheetml/2006/main" count="80" uniqueCount="22">
  <si>
    <t>N° de 5 dígitos</t>
  </si>
  <si>
    <t>Gastos de transporte</t>
  </si>
  <si>
    <t>Salario</t>
  </si>
  <si>
    <t>Fecha</t>
  </si>
  <si>
    <t>Edad</t>
  </si>
  <si>
    <t>Producto</t>
  </si>
  <si>
    <t>Cantidad</t>
  </si>
  <si>
    <t>Precio Unitario</t>
  </si>
  <si>
    <t>Total</t>
  </si>
  <si>
    <t>Lápices</t>
  </si>
  <si>
    <t>Cuadernos</t>
  </si>
  <si>
    <t>Carpetas</t>
  </si>
  <si>
    <t>Total ventas</t>
  </si>
  <si>
    <t>Ejercicios - Unidad 2</t>
  </si>
  <si>
    <t>Suma de sucursales</t>
  </si>
  <si>
    <t>Alumno</t>
  </si>
  <si>
    <t>Nota</t>
  </si>
  <si>
    <t>Ana</t>
  </si>
  <si>
    <t>Bruno</t>
  </si>
  <si>
    <t>Carla</t>
  </si>
  <si>
    <t>Ventas</t>
  </si>
  <si>
    <t>Ventas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</si>
</sst>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6" formatCode="[$$-2C0A]\ #,##0.00"/>
    <numFmt numFmtId="171" formatCode="_-[$$-2C0A]\ * #,##0.00_-;\-[$$-2C0A]\ * #,##0.00_-;_-[$$-2C0A]\ * &quot;-&quot;??_-;_-@_-"/>
  </numFmts>
  <fonts count="3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71" fontId="0" fillId="0" borderId="1" xfId="1" applyNumberFormat="1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1" fontId="0" fillId="0" borderId="0" xfId="0" applyNumberFormat="1"/>
    <xf numFmtId="171" fontId="0" fillId="0" borderId="1" xfId="0" applyNumberFormat="1" applyBorder="1"/>
    <xf numFmtId="0" fontId="0" fillId="0" borderId="2" xfId="0" applyBorder="1"/>
    <xf numFmtId="171" fontId="0" fillId="0" borderId="3" xfId="1" applyNumberFormat="1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0" borderId="7" xfId="0" applyBorder="1"/>
    <xf numFmtId="171" fontId="0" fillId="0" borderId="8" xfId="1" applyNumberFormat="1" applyFont="1" applyBorder="1"/>
    <xf numFmtId="0" fontId="0" fillId="0" borderId="8" xfId="0" applyBorder="1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71" fontId="0" fillId="0" borderId="3" xfId="0" applyNumberFormat="1" applyBorder="1"/>
    <xf numFmtId="171" fontId="0" fillId="0" borderId="9" xfId="0" applyNumberFormat="1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71" fontId="0" fillId="0" borderId="0" xfId="0" applyNumberFormat="1" applyBorder="1"/>
    <xf numFmtId="0" fontId="2" fillId="2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5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_-[$$-2C0A]\ * #,##0.00_-;\-[$$-2C0A]\ * #,##0.00_-;_-[$$-2C0A]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_-[$$-2C0A]\ * #,##0.00_-;\-[$$-2C0A]\ * #,##0.00_-;_-[$$-2C0A]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1" formatCode="_-[$$-2C0A]\ * #,##0.00_-;\-[$$-2C0A]\ * #,##0.00_-;_-[$$-2C0A]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1" formatCode="_-[$$-2C0A]\ * #,##0.00_-;\-[$$-2C0A]\ * #,##0.00_-;_-[$$-2C0A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1" formatCode="_-[$$-2C0A]\ * #,##0.00_-;\-[$$-2C0A]\ * #,##0.00_-;_-[$$-2C0A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630120</xdr:colOff>
      <xdr:row>30</xdr:row>
      <xdr:rowOff>172272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847D54-C23C-E45D-03E2-7260974F8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36120" cy="5887272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21</xdr:col>
      <xdr:colOff>683809</xdr:colOff>
      <xdr:row>31</xdr:row>
      <xdr:rowOff>38930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ECA7B2-6707-1B00-AFE2-73DBAA7D0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58500" y="0"/>
          <a:ext cx="10555173" cy="5944430"/>
        </a:xfrm>
        <a:prstGeom prst="rect">
          <a:avLst/>
        </a:prstGeom>
        <a:effectLst>
          <a:glow rad="228600">
            <a:srgbClr val="FF0000">
              <a:alpha val="40000"/>
            </a:srgbClr>
          </a:glo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22776F-7EFC-4539-ADAD-72F0B9F8F51B}" name="Tabla1" displayName="Tabla1" ref="A1:D5" totalsRowShown="0" headerRowDxfId="47" headerRowBorderDxfId="53" tableBorderDxfId="54" totalsRowBorderDxfId="52">
  <autoFilter ref="A1:D5" xr:uid="{D522776F-7EFC-4539-ADAD-72F0B9F8F51B}"/>
  <tableColumns count="4">
    <tableColumn id="1" xr3:uid="{DF2378AD-ECF1-4270-BF92-FCA3CE685178}" name="Producto" dataDxfId="51"/>
    <tableColumn id="2" xr3:uid="{E0DB0246-3E40-469E-B291-FBC927A19B6A}" name="Cantidad" dataDxfId="50" dataCellStyle="Moneda"/>
    <tableColumn id="3" xr3:uid="{D91BA5B8-9F5F-4E4F-8D5E-B2C80A1094AF}" name="Precio Unitario" dataDxfId="49" dataCellStyle="Moneda"/>
    <tableColumn id="4" xr3:uid="{20FE5D53-8B56-489F-865A-A8130AC96092}" name="Total" dataDxfId="48" dataCellStyle="Moneda">
      <calculatedColumnFormula>Tabla1[[#This Row],[Precio Unitario]]*Tabla1[[#This Row],[Cantidad]]</calculatedColumnFormula>
    </tableColumn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77A749-5EB4-447D-A34B-53760DD185BB}" name="Tabla2" displayName="Tabla2" ref="A1:D5" totalsRowShown="0" headerRowDxfId="41" headerRowBorderDxfId="45" tableBorderDxfId="46" totalsRowBorderDxfId="44">
  <autoFilter ref="A1:D5" xr:uid="{4C77A749-5EB4-447D-A34B-53760DD185BB}"/>
  <tableColumns count="4">
    <tableColumn id="1" xr3:uid="{DB53759F-1903-497C-BB56-B409E60489C7}" name="Producto" dataDxfId="43"/>
    <tableColumn id="2" xr3:uid="{09127727-D0B7-40E0-AFB5-144644F43120}" name="Cantidad" dataDxfId="42"/>
    <tableColumn id="3" xr3:uid="{31D29C65-F653-4EB9-AC39-12658E3F968C}" name="Precio Unitario" dataDxfId="34"/>
    <tableColumn id="4" xr3:uid="{7D3D0246-1A96-4883-9C8C-E55B6312E634}" name="Total" dataDxfId="33"/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91116E-436C-4AFE-909E-03FDB1272F27}" name="Tabla3" displayName="Tabla3" ref="A1:D5" totalsRowShown="0" headerRowDxfId="35" headerRowBorderDxfId="39" tableBorderDxfId="40" totalsRowBorderDxfId="38">
  <autoFilter ref="A1:D5" xr:uid="{0691116E-436C-4AFE-909E-03FDB1272F27}"/>
  <tableColumns count="4">
    <tableColumn id="1" xr3:uid="{A030A165-2E36-4F40-8684-739F7F3DE41C}" name="Producto" dataDxfId="37"/>
    <tableColumn id="2" xr3:uid="{3D5D1D3B-BA37-4ACC-8515-E984924A59E6}" name="Cantidad" dataDxfId="36"/>
    <tableColumn id="3" xr3:uid="{1B000B14-498D-45A7-982E-E23672D5DB53}" name="Precio Unitario" dataDxfId="32"/>
    <tableColumn id="4" xr3:uid="{819489FB-DAB2-4569-BC4B-65E83C47A5E5}" name="Total" dataDxfId="31"/>
  </tableColumns>
  <tableStyleInfo name="TableStyleMedium2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2A0FD7-5CFF-4F40-8C02-B340DE51D2E7}" name="Tabla4" displayName="Tabla4" ref="A1:B4" totalsRowShown="0" headerRowDxfId="25" headerRowBorderDxfId="29" tableBorderDxfId="30" totalsRowBorderDxfId="28">
  <autoFilter ref="A1:B4" xr:uid="{782A0FD7-5CFF-4F40-8C02-B340DE51D2E7}"/>
  <tableColumns count="2">
    <tableColumn id="1" xr3:uid="{2B82BE29-8614-4071-AE60-6A74AB9F971C}" name="Alumno" dataDxfId="27"/>
    <tableColumn id="2" xr3:uid="{F97FFC2A-5B05-470E-9E6E-4F404949B0A4}" name="Nota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9D962F-170E-4544-B749-C081FE4982AA}" name="Tabla5" displayName="Tabla5" ref="A1:B4" totalsRowShown="0" headerRowDxfId="18" dataDxfId="24" headerRowBorderDxfId="22" tableBorderDxfId="23" totalsRowBorderDxfId="21">
  <autoFilter ref="A1:B4" xr:uid="{599D962F-170E-4544-B749-C081FE4982AA}"/>
  <tableColumns count="2">
    <tableColumn id="1" xr3:uid="{688708D3-2E98-45B4-82ED-399D55570130}" name="Alumno" dataDxfId="20"/>
    <tableColumn id="2" xr3:uid="{AC0723BC-017E-46D1-BB6D-4302731CB69A}" name="Nota" dataDxfId="1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A45011-C50B-4241-8D7C-DB581C7E80F0}" name="Tabla6" displayName="Tabla6" ref="A1:B4" totalsRowShown="0" headerRowDxfId="17" dataDxfId="16">
  <autoFilter ref="A1:B4" xr:uid="{13A45011-C50B-4241-8D7C-DB581C7E80F0}"/>
  <tableColumns count="2">
    <tableColumn id="1" xr3:uid="{510A702D-AD25-419C-97A7-E19A13B7CB62}" name="Alumno" dataDxfId="15"/>
    <tableColumn id="2" xr3:uid="{87277079-7E58-4C96-96A9-A0635643AAD4}" name="Nota" dataDxfId="1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FA4CF7-EAE4-405C-B1B8-1C4CCF8C49B7}" name="Tabla8" displayName="Tabla8" ref="A1:B4" totalsRowShown="0" headerRowDxfId="7" dataDxfId="13" headerRowBorderDxfId="11" tableBorderDxfId="12" totalsRowBorderDxfId="10">
  <autoFilter ref="A1:B4" xr:uid="{E4FA4CF7-EAE4-405C-B1B8-1C4CCF8C49B7}"/>
  <tableColumns count="2">
    <tableColumn id="1" xr3:uid="{A02354AC-A922-42ED-949B-537BC461BB33}" name="Producto" dataDxfId="9"/>
    <tableColumn id="2" xr3:uid="{57278A7F-4E5C-48B8-A0FE-BEBF03266230}" name="Ventas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6B3E16-57EA-47DF-973C-7AA552C413B7}" name="Tabla9" displayName="Tabla9" ref="A1:B4" totalsRowShown="0" headerRowDxfId="0" dataDxfId="6" headerRowBorderDxfId="4" tableBorderDxfId="5" totalsRowBorderDxfId="3">
  <autoFilter ref="A1:B4" xr:uid="{656B3E16-57EA-47DF-973C-7AA552C413B7}"/>
  <tableColumns count="2">
    <tableColumn id="1" xr3:uid="{05481AD2-233D-41E3-A998-E81B621680A9}" name="Producto" dataDxfId="2"/>
    <tableColumn id="2" xr3:uid="{02DB3C44-5FCC-4B1E-A789-7BCC3B8510B8}" name="Venta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DE89-8234-4AD5-A7C6-991DD42858C4}">
  <dimension ref="A1"/>
  <sheetViews>
    <sheetView tabSelected="1" zoomScale="55" zoomScaleNormal="55" workbookViewId="0">
      <selection activeCell="L34" sqref="L34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5F37-C8A5-49E6-8D56-4A4C83A0131C}">
  <dimension ref="A1:H2"/>
  <sheetViews>
    <sheetView workbookViewId="0">
      <selection activeCell="H10" sqref="H10"/>
    </sheetView>
  </sheetViews>
  <sheetFormatPr baseColWidth="10" defaultRowHeight="15" x14ac:dyDescent="0.2"/>
  <cols>
    <col min="1" max="1" width="13.21875" bestFit="1" customWidth="1"/>
    <col min="3" max="3" width="18.88671875" bestFit="1" customWidth="1"/>
  </cols>
  <sheetData>
    <row r="1" spans="1:8" ht="15.75" x14ac:dyDescent="0.25">
      <c r="A1" s="1" t="s">
        <v>0</v>
      </c>
      <c r="C1" s="1" t="s">
        <v>1</v>
      </c>
      <c r="D1" s="3" t="s">
        <v>2</v>
      </c>
      <c r="F1" s="1" t="s">
        <v>3</v>
      </c>
      <c r="H1" s="1" t="s">
        <v>4</v>
      </c>
    </row>
    <row r="2" spans="1:8" x14ac:dyDescent="0.2">
      <c r="A2" s="4">
        <v>3</v>
      </c>
      <c r="C2" s="5">
        <v>500</v>
      </c>
      <c r="D2" s="5">
        <v>4000</v>
      </c>
      <c r="F2" s="6">
        <v>45874</v>
      </c>
      <c r="H2" s="4">
        <v>18</v>
      </c>
    </row>
  </sheetData>
  <dataValidations count="4">
    <dataValidation type="whole" allowBlank="1" showErrorMessage="1" errorTitle="¡ERROR!" error="Solo valores de 1 a 5 dígitos." sqref="A2" xr:uid="{DB6984EF-6DDC-4BC2-B140-B968FC394F71}">
      <formula1>0</formula1>
      <formula2>99999</formula2>
    </dataValidation>
    <dataValidation type="custom" allowBlank="1" showErrorMessage="1" errorTitle="TE PASASTE DEL 30%" error="Solo ingresos menores al 30% del salario." sqref="C2" xr:uid="{D7D48A06-F470-4476-9606-EED024DAB857}">
      <formula1>C2&lt;(D2*30%)</formula1>
    </dataValidation>
    <dataValidation type="date" allowBlank="1" showErrorMessage="1" errorTitle="FECHA INCORRECTA" error="Solo fechas del 2025." sqref="F2" xr:uid="{8E8E30BD-F695-42BD-8BD8-0E3A2C5AFE66}">
      <formula1>45658</formula1>
      <formula2>46022</formula2>
    </dataValidation>
    <dataValidation type="whole" allowBlank="1" showInputMessage="1" showErrorMessage="1" errorTitle="Edad incorrecta" error="Respeta el ranfo de edad." promptTitle="Introduce la edad:" prompt="Edad mínima: 18_x000a_Edad máxima: 65" sqref="H2" xr:uid="{63E42A83-E541-49F8-8F79-E5E2602A4E7E}">
      <formula1>18</formula1>
      <formula2>65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A612-726B-4350-9DF2-22211ACE0B50}">
  <dimension ref="A1:D22"/>
  <sheetViews>
    <sheetView topLeftCell="A10" workbookViewId="0">
      <selection activeCell="D10" sqref="D10"/>
    </sheetView>
  </sheetViews>
  <sheetFormatPr baseColWidth="10" defaultRowHeight="15" outlineLevelRow="1" x14ac:dyDescent="0.2"/>
  <cols>
    <col min="1" max="1" width="18.33203125" bestFit="1" customWidth="1"/>
    <col min="3" max="3" width="2.21875" customWidth="1"/>
    <col min="4" max="4" width="9.33203125" customWidth="1"/>
  </cols>
  <sheetData>
    <row r="1" spans="1:4" hidden="1" outlineLevel="1" x14ac:dyDescent="0.2">
      <c r="A1" s="10">
        <f>'Sucursal 1'!$D$5</f>
        <v>24600</v>
      </c>
    </row>
    <row r="2" spans="1:4" hidden="1" outlineLevel="1" collapsed="1" x14ac:dyDescent="0.2">
      <c r="A2" s="10">
        <f>'Sucursal 2'!$D$5</f>
        <v>21200</v>
      </c>
    </row>
    <row r="3" spans="1:4" hidden="1" outlineLevel="1" collapsed="1" x14ac:dyDescent="0.2">
      <c r="A3" s="10">
        <f>'Sucursal 3'!$D$5</f>
        <v>24900</v>
      </c>
    </row>
    <row r="4" spans="1:4" hidden="1" outlineLevel="1" x14ac:dyDescent="0.2">
      <c r="A4" s="10"/>
      <c r="B4" s="10">
        <f>'Sucursal 1'!$D$5</f>
        <v>24600</v>
      </c>
    </row>
    <row r="5" spans="1:4" hidden="1" outlineLevel="1" x14ac:dyDescent="0.2">
      <c r="A5" s="10"/>
      <c r="B5" s="10">
        <f>'Sucursal 2'!$D$5</f>
        <v>21200</v>
      </c>
    </row>
    <row r="6" spans="1:4" hidden="1" outlineLevel="1" x14ac:dyDescent="0.2">
      <c r="A6" s="10"/>
      <c r="B6" s="10">
        <f>'Sucursal 3'!$D$5</f>
        <v>24900</v>
      </c>
    </row>
    <row r="7" spans="1:4" hidden="1" outlineLevel="1" x14ac:dyDescent="0.2">
      <c r="A7" s="10"/>
      <c r="B7" s="10"/>
      <c r="C7" s="10"/>
      <c r="D7" s="10"/>
    </row>
    <row r="8" spans="1:4" hidden="1" outlineLevel="1" x14ac:dyDescent="0.2">
      <c r="A8" s="10"/>
      <c r="B8" s="10"/>
      <c r="C8" s="10"/>
      <c r="D8" s="10"/>
    </row>
    <row r="9" spans="1:4" hidden="1" outlineLevel="1" x14ac:dyDescent="0.2">
      <c r="A9" s="10"/>
      <c r="B9" s="10"/>
      <c r="C9" s="10"/>
      <c r="D9" s="10"/>
    </row>
    <row r="10" spans="1:4" ht="15.75" collapsed="1" x14ac:dyDescent="0.25">
      <c r="A10" s="1" t="s">
        <v>14</v>
      </c>
      <c r="B10" s="10"/>
    </row>
    <row r="11" spans="1:4" ht="15.75" hidden="1" outlineLevel="1" x14ac:dyDescent="0.25">
      <c r="A11" s="1"/>
      <c r="B11" s="10"/>
    </row>
    <row r="12" spans="1:4" ht="15.75" hidden="1" outlineLevel="1" collapsed="1" x14ac:dyDescent="0.25">
      <c r="A12" s="1"/>
      <c r="B12" s="10"/>
    </row>
    <row r="13" spans="1:4" ht="15.75" hidden="1" outlineLevel="1" collapsed="1" x14ac:dyDescent="0.25">
      <c r="A13" s="1"/>
      <c r="B13" s="10"/>
    </row>
    <row r="14" spans="1:4" collapsed="1" x14ac:dyDescent="0.2">
      <c r="A14" s="11">
        <f>SUM(A1:A3)</f>
        <v>70700</v>
      </c>
    </row>
    <row r="15" spans="1:4" hidden="1" outlineLevel="1" x14ac:dyDescent="0.2">
      <c r="A15" s="30"/>
    </row>
    <row r="16" spans="1:4" hidden="1" outlineLevel="1" collapsed="1" x14ac:dyDescent="0.2">
      <c r="A16" s="30"/>
    </row>
    <row r="17" spans="1:1" hidden="1" outlineLevel="1" collapsed="1" x14ac:dyDescent="0.2">
      <c r="A17" s="30"/>
    </row>
    <row r="18" spans="1:1" collapsed="1" x14ac:dyDescent="0.2"/>
    <row r="19" spans="1:1" hidden="1" outlineLevel="1" x14ac:dyDescent="0.2"/>
    <row r="20" spans="1:1" hidden="1" outlineLevel="1" collapsed="1" x14ac:dyDescent="0.2"/>
    <row r="21" spans="1:1" hidden="1" outlineLevel="1" collapsed="1" x14ac:dyDescent="0.2"/>
    <row r="22" spans="1:1" collapsed="1" x14ac:dyDescent="0.2"/>
  </sheetData>
  <dataConsolidate function="average" leftLabels="1" topLabels="1">
    <dataRefs count="6">
      <dataRef ref="A1:B4" sheet="Biología"/>
      <dataRef ref="A1:B4" sheet="Historia"/>
      <dataRef ref="A1:B4" sheet="Matemática"/>
      <dataRef ref="D5" sheet="Sucursal 1"/>
      <dataRef ref="D5" sheet="Sucursal 2"/>
      <dataRef ref="D5" sheet="Sucursal 3"/>
    </dataRefs>
  </dataConsolid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1BBD-C52B-430D-B01F-900B496FC866}">
  <dimension ref="A1:D5"/>
  <sheetViews>
    <sheetView workbookViewId="0">
      <selection activeCell="D13" sqref="D13"/>
    </sheetView>
  </sheetViews>
  <sheetFormatPr baseColWidth="10" defaultRowHeight="15" x14ac:dyDescent="0.2"/>
  <cols>
    <col min="3" max="3" width="15" customWidth="1"/>
  </cols>
  <sheetData>
    <row r="1" spans="1:4" ht="15.75" x14ac:dyDescent="0.25">
      <c r="A1" s="14" t="s">
        <v>5</v>
      </c>
      <c r="B1" s="15" t="s">
        <v>6</v>
      </c>
      <c r="C1" s="15" t="s">
        <v>7</v>
      </c>
      <c r="D1" s="16" t="s">
        <v>8</v>
      </c>
    </row>
    <row r="2" spans="1:4" x14ac:dyDescent="0.2">
      <c r="A2" s="12" t="s">
        <v>9</v>
      </c>
      <c r="B2" s="7">
        <v>100</v>
      </c>
      <c r="C2" s="7">
        <v>50</v>
      </c>
      <c r="D2" s="13">
        <f>Tabla1[[#This Row],[Precio Unitario]]*Tabla1[[#This Row],[Cantidad]]</f>
        <v>5000</v>
      </c>
    </row>
    <row r="3" spans="1:4" x14ac:dyDescent="0.2">
      <c r="A3" s="12" t="s">
        <v>10</v>
      </c>
      <c r="B3" s="7">
        <v>80</v>
      </c>
      <c r="C3" s="7">
        <v>120</v>
      </c>
      <c r="D3" s="13">
        <f>Tabla1[[#This Row],[Precio Unitario]]*Tabla1[[#This Row],[Cantidad]]</f>
        <v>9600</v>
      </c>
    </row>
    <row r="4" spans="1:4" x14ac:dyDescent="0.2">
      <c r="A4" s="12" t="s">
        <v>11</v>
      </c>
      <c r="B4" s="7">
        <v>50</v>
      </c>
      <c r="C4" s="7">
        <v>200</v>
      </c>
      <c r="D4" s="13">
        <f>Tabla1[[#This Row],[Precio Unitario]]*Tabla1[[#This Row],[Cantidad]]</f>
        <v>10000</v>
      </c>
    </row>
    <row r="5" spans="1:4" x14ac:dyDescent="0.2">
      <c r="A5" s="17" t="s">
        <v>12</v>
      </c>
      <c r="B5" s="18"/>
      <c r="C5" s="18"/>
      <c r="D5" s="13">
        <f>SUM(D2:D4)</f>
        <v>24600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0B45-2353-42FA-88D4-CDFE6E2EB9C8}">
  <dimension ref="A1:D5"/>
  <sheetViews>
    <sheetView workbookViewId="0">
      <selection activeCell="D6" sqref="D6"/>
    </sheetView>
  </sheetViews>
  <sheetFormatPr baseColWidth="10" defaultRowHeight="15" x14ac:dyDescent="0.2"/>
  <cols>
    <col min="3" max="3" width="15" customWidth="1"/>
  </cols>
  <sheetData>
    <row r="1" spans="1:4" ht="15.75" x14ac:dyDescent="0.25">
      <c r="A1" s="14" t="s">
        <v>5</v>
      </c>
      <c r="B1" s="15" t="s">
        <v>6</v>
      </c>
      <c r="C1" s="15" t="s">
        <v>7</v>
      </c>
      <c r="D1" s="16" t="s">
        <v>8</v>
      </c>
    </row>
    <row r="2" spans="1:4" x14ac:dyDescent="0.2">
      <c r="A2" s="12" t="s">
        <v>9</v>
      </c>
      <c r="B2" s="2">
        <v>120</v>
      </c>
      <c r="C2" s="11">
        <v>50</v>
      </c>
      <c r="D2" s="22">
        <f>Tabla2[[#This Row],[Precio Unitario]]*Tabla2[[#This Row],[Cantidad]]</f>
        <v>6000</v>
      </c>
    </row>
    <row r="3" spans="1:4" x14ac:dyDescent="0.2">
      <c r="A3" s="12" t="s">
        <v>10</v>
      </c>
      <c r="B3" s="2">
        <v>60</v>
      </c>
      <c r="C3" s="11">
        <v>120</v>
      </c>
      <c r="D3" s="22">
        <f>Tabla2[[#This Row],[Precio Unitario]]*Tabla2[[#This Row],[Cantidad]]</f>
        <v>7200</v>
      </c>
    </row>
    <row r="4" spans="1:4" x14ac:dyDescent="0.2">
      <c r="A4" s="12" t="s">
        <v>11</v>
      </c>
      <c r="B4" s="2">
        <v>40</v>
      </c>
      <c r="C4" s="11">
        <v>200</v>
      </c>
      <c r="D4" s="22">
        <f>Tabla2[[#This Row],[Precio Unitario]]*Tabla2[[#This Row],[Cantidad]]</f>
        <v>8000</v>
      </c>
    </row>
    <row r="5" spans="1:4" x14ac:dyDescent="0.2">
      <c r="A5" s="17" t="s">
        <v>12</v>
      </c>
      <c r="B5" s="19"/>
      <c r="C5" s="19"/>
      <c r="D5" s="23">
        <f>SUM(D2:D4)</f>
        <v>21200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B9F5-5583-4614-A06F-C4DEEE3E5244}">
  <dimension ref="A1:D5"/>
  <sheetViews>
    <sheetView workbookViewId="0">
      <selection activeCell="D6" sqref="D6"/>
    </sheetView>
  </sheetViews>
  <sheetFormatPr baseColWidth="10" defaultRowHeight="15" x14ac:dyDescent="0.2"/>
  <cols>
    <col min="3" max="3" width="15" customWidth="1"/>
  </cols>
  <sheetData>
    <row r="1" spans="1:4" ht="15.75" x14ac:dyDescent="0.25">
      <c r="A1" s="14" t="s">
        <v>5</v>
      </c>
      <c r="B1" s="15" t="s">
        <v>6</v>
      </c>
      <c r="C1" s="15" t="s">
        <v>7</v>
      </c>
      <c r="D1" s="16" t="s">
        <v>8</v>
      </c>
    </row>
    <row r="2" spans="1:4" x14ac:dyDescent="0.2">
      <c r="A2" s="12" t="s">
        <v>9</v>
      </c>
      <c r="B2" s="2">
        <v>90</v>
      </c>
      <c r="C2" s="11">
        <v>50</v>
      </c>
      <c r="D2" s="22">
        <f>Tabla3[[#This Row],[Precio Unitario]]*Tabla3[[#This Row],[Cantidad]]</f>
        <v>4500</v>
      </c>
    </row>
    <row r="3" spans="1:4" x14ac:dyDescent="0.2">
      <c r="A3" s="12" t="s">
        <v>10</v>
      </c>
      <c r="B3" s="2">
        <v>70</v>
      </c>
      <c r="C3" s="11">
        <v>120</v>
      </c>
      <c r="D3" s="22">
        <f>Tabla3[[#This Row],[Precio Unitario]]*Tabla3[[#This Row],[Cantidad]]</f>
        <v>8400</v>
      </c>
    </row>
    <row r="4" spans="1:4" x14ac:dyDescent="0.2">
      <c r="A4" s="12" t="s">
        <v>11</v>
      </c>
      <c r="B4" s="2">
        <v>60</v>
      </c>
      <c r="C4" s="11">
        <v>200</v>
      </c>
      <c r="D4" s="22">
        <f>Tabla3[[#This Row],[Precio Unitario]]*Tabla3[[#This Row],[Cantidad]]</f>
        <v>12000</v>
      </c>
    </row>
    <row r="5" spans="1:4" x14ac:dyDescent="0.2">
      <c r="A5" s="17" t="s">
        <v>12</v>
      </c>
      <c r="B5" s="19"/>
      <c r="C5" s="19"/>
      <c r="D5" s="23">
        <f>SUM(D2:D4)</f>
        <v>24900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43FF-36BB-4F0E-8A5B-34A2FA3DF7C1}">
  <dimension ref="A1:C13"/>
  <sheetViews>
    <sheetView workbookViewId="0">
      <selection activeCell="C14" sqref="C14"/>
    </sheetView>
  </sheetViews>
  <sheetFormatPr baseColWidth="10" defaultRowHeight="15" outlineLevelRow="1" x14ac:dyDescent="0.2"/>
  <cols>
    <col min="1" max="1" width="2.21875" customWidth="1"/>
    <col min="2" max="2" width="9.33203125" customWidth="1"/>
  </cols>
  <sheetData>
    <row r="1" spans="1:3" ht="15.75" x14ac:dyDescent="0.25">
      <c r="A1" s="20" t="s">
        <v>15</v>
      </c>
      <c r="B1" s="21"/>
      <c r="C1" s="1" t="s">
        <v>16</v>
      </c>
    </row>
    <row r="2" spans="1:3" hidden="1" outlineLevel="1" x14ac:dyDescent="0.2">
      <c r="A2" s="2"/>
      <c r="B2" s="2" t="s">
        <v>13</v>
      </c>
      <c r="C2" s="2">
        <f>Biología!$B$2</f>
        <v>10</v>
      </c>
    </row>
    <row r="3" spans="1:3" hidden="1" outlineLevel="1" collapsed="1" x14ac:dyDescent="0.2">
      <c r="A3" s="2"/>
      <c r="B3" s="2" t="s">
        <v>13</v>
      </c>
      <c r="C3" s="2">
        <f>Historia!$B$2</f>
        <v>9</v>
      </c>
    </row>
    <row r="4" spans="1:3" hidden="1" outlineLevel="1" collapsed="1" x14ac:dyDescent="0.2">
      <c r="A4" s="2"/>
      <c r="B4" s="2" t="s">
        <v>13</v>
      </c>
      <c r="C4" s="2">
        <f>Matemática!$B$2</f>
        <v>8</v>
      </c>
    </row>
    <row r="5" spans="1:3" collapsed="1" x14ac:dyDescent="0.2">
      <c r="A5" s="2" t="s">
        <v>17</v>
      </c>
      <c r="B5" s="2"/>
      <c r="C5" s="2">
        <f>AVERAGE(C2:C4)</f>
        <v>9</v>
      </c>
    </row>
    <row r="6" spans="1:3" hidden="1" outlineLevel="1" x14ac:dyDescent="0.2">
      <c r="A6" s="2"/>
      <c r="B6" s="2" t="s">
        <v>13</v>
      </c>
      <c r="C6" s="2">
        <f>Biología!$B$3</f>
        <v>3</v>
      </c>
    </row>
    <row r="7" spans="1:3" hidden="1" outlineLevel="1" collapsed="1" x14ac:dyDescent="0.2">
      <c r="A7" s="2"/>
      <c r="B7" s="2" t="s">
        <v>13</v>
      </c>
      <c r="C7" s="2">
        <f>Historia!$B$3</f>
        <v>4</v>
      </c>
    </row>
    <row r="8" spans="1:3" hidden="1" outlineLevel="1" collapsed="1" x14ac:dyDescent="0.2">
      <c r="A8" s="2"/>
      <c r="B8" s="2" t="s">
        <v>13</v>
      </c>
      <c r="C8" s="2">
        <f>Matemática!$B$3</f>
        <v>6</v>
      </c>
    </row>
    <row r="9" spans="1:3" collapsed="1" x14ac:dyDescent="0.2">
      <c r="A9" s="2" t="s">
        <v>18</v>
      </c>
      <c r="B9" s="2"/>
      <c r="C9" s="2">
        <f>ROUNDDOWN(AVERAGE(C6:C8),2)</f>
        <v>4.33</v>
      </c>
    </row>
    <row r="10" spans="1:3" hidden="1" outlineLevel="1" x14ac:dyDescent="0.2">
      <c r="A10" s="2"/>
      <c r="B10" s="2" t="s">
        <v>13</v>
      </c>
      <c r="C10" s="2">
        <f>Biología!$B$4</f>
        <v>7</v>
      </c>
    </row>
    <row r="11" spans="1:3" hidden="1" outlineLevel="1" collapsed="1" x14ac:dyDescent="0.2">
      <c r="A11" s="2"/>
      <c r="B11" s="2" t="s">
        <v>13</v>
      </c>
      <c r="C11" s="2">
        <f>Historia!$B$4</f>
        <v>10</v>
      </c>
    </row>
    <row r="12" spans="1:3" hidden="1" outlineLevel="1" collapsed="1" x14ac:dyDescent="0.2">
      <c r="A12" s="2"/>
      <c r="B12" s="2" t="s">
        <v>13</v>
      </c>
      <c r="C12" s="2">
        <f>Matemática!$B$4</f>
        <v>9</v>
      </c>
    </row>
    <row r="13" spans="1:3" collapsed="1" x14ac:dyDescent="0.2">
      <c r="A13" s="2" t="s">
        <v>19</v>
      </c>
      <c r="B13" s="2"/>
      <c r="C13" s="2">
        <f>ROUNDDOWN(AVERAGE(C10:C12),2)</f>
        <v>8.66</v>
      </c>
    </row>
  </sheetData>
  <dataConsolidate function="average" leftLabels="1" topLabels="1" link="1">
    <dataRefs count="3">
      <dataRef ref="A1:B4" sheet="Biología"/>
      <dataRef ref="A1:B4" sheet="Historia"/>
      <dataRef ref="A1:B4" sheet="Matemática"/>
    </dataRefs>
  </dataConsolidate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7B5A-6EA8-4C1A-B0A3-83B9177C28CC}">
  <dimension ref="A1:B4"/>
  <sheetViews>
    <sheetView workbookViewId="0">
      <selection activeCell="E12" sqref="E12"/>
    </sheetView>
  </sheetViews>
  <sheetFormatPr baseColWidth="10" defaultRowHeight="15" x14ac:dyDescent="0.2"/>
  <sheetData>
    <row r="1" spans="1:2" ht="15.75" x14ac:dyDescent="0.2">
      <c r="A1" s="26" t="s">
        <v>15</v>
      </c>
      <c r="B1" s="27" t="s">
        <v>16</v>
      </c>
    </row>
    <row r="2" spans="1:2" x14ac:dyDescent="0.2">
      <c r="A2" s="24" t="s">
        <v>17</v>
      </c>
      <c r="B2" s="25">
        <v>8</v>
      </c>
    </row>
    <row r="3" spans="1:2" x14ac:dyDescent="0.2">
      <c r="A3" s="24" t="s">
        <v>18</v>
      </c>
      <c r="B3" s="25">
        <v>6</v>
      </c>
    </row>
    <row r="4" spans="1:2" x14ac:dyDescent="0.2">
      <c r="A4" s="28" t="s">
        <v>19</v>
      </c>
      <c r="B4" s="29">
        <v>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BEB5-8D68-4F21-9C7A-3AF07FE2E8E5}">
  <dimension ref="A1:B4"/>
  <sheetViews>
    <sheetView workbookViewId="0">
      <selection sqref="A1:B4"/>
    </sheetView>
  </sheetViews>
  <sheetFormatPr baseColWidth="10" defaultRowHeight="15" x14ac:dyDescent="0.2"/>
  <sheetData>
    <row r="1" spans="1:2" ht="15.75" x14ac:dyDescent="0.2">
      <c r="A1" s="26" t="s">
        <v>15</v>
      </c>
      <c r="B1" s="27" t="s">
        <v>16</v>
      </c>
    </row>
    <row r="2" spans="1:2" x14ac:dyDescent="0.2">
      <c r="A2" s="24" t="s">
        <v>17</v>
      </c>
      <c r="B2" s="25">
        <v>9</v>
      </c>
    </row>
    <row r="3" spans="1:2" x14ac:dyDescent="0.2">
      <c r="A3" s="24" t="s">
        <v>18</v>
      </c>
      <c r="B3" s="25">
        <v>4</v>
      </c>
    </row>
    <row r="4" spans="1:2" x14ac:dyDescent="0.2">
      <c r="A4" s="28" t="s">
        <v>19</v>
      </c>
      <c r="B4" s="29">
        <v>10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E91E-D504-47BA-9967-0C409E771722}">
  <dimension ref="A1:B4"/>
  <sheetViews>
    <sheetView workbookViewId="0">
      <selection sqref="A1:B4"/>
    </sheetView>
  </sheetViews>
  <sheetFormatPr baseColWidth="10" defaultRowHeight="15" x14ac:dyDescent="0.2"/>
  <sheetData>
    <row r="1" spans="1:2" ht="15.75" x14ac:dyDescent="0.2">
      <c r="A1" s="8" t="s">
        <v>15</v>
      </c>
      <c r="B1" s="8" t="s">
        <v>16</v>
      </c>
    </row>
    <row r="2" spans="1:2" x14ac:dyDescent="0.2">
      <c r="A2" s="9" t="s">
        <v>17</v>
      </c>
      <c r="B2" s="9">
        <v>10</v>
      </c>
    </row>
    <row r="3" spans="1:2" x14ac:dyDescent="0.2">
      <c r="A3" s="9" t="s">
        <v>18</v>
      </c>
      <c r="B3" s="9">
        <v>3</v>
      </c>
    </row>
    <row r="4" spans="1:2" x14ac:dyDescent="0.2">
      <c r="A4" s="9" t="s">
        <v>19</v>
      </c>
      <c r="B4" s="9">
        <v>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E826-B63F-4196-A9F3-9C2699AC9709}">
  <dimension ref="A1:C10"/>
  <sheetViews>
    <sheetView workbookViewId="0">
      <selection activeCell="D11" sqref="D11"/>
    </sheetView>
  </sheetViews>
  <sheetFormatPr baseColWidth="10" defaultRowHeight="15" outlineLevelRow="1" x14ac:dyDescent="0.2"/>
  <cols>
    <col min="1" max="1" width="2.21875" customWidth="1"/>
    <col min="2" max="2" width="9.33203125" customWidth="1"/>
    <col min="3" max="3" width="13.5546875" bestFit="1" customWidth="1"/>
  </cols>
  <sheetData>
    <row r="1" spans="1:3" ht="15.75" x14ac:dyDescent="0.25">
      <c r="A1" s="31" t="s">
        <v>5</v>
      </c>
      <c r="B1" s="31"/>
      <c r="C1" s="1" t="s">
        <v>21</v>
      </c>
    </row>
    <row r="2" spans="1:3" hidden="1" outlineLevel="1" x14ac:dyDescent="0.2">
      <c r="A2" s="2"/>
      <c r="B2" s="2" t="s">
        <v>13</v>
      </c>
      <c r="C2" s="2">
        <f>Enero!$B$2</f>
        <v>5000</v>
      </c>
    </row>
    <row r="3" spans="1:3" hidden="1" outlineLevel="1" collapsed="1" x14ac:dyDescent="0.2">
      <c r="A3" s="2"/>
      <c r="B3" s="2" t="s">
        <v>13</v>
      </c>
      <c r="C3" s="2">
        <f>Febrero!$B$2</f>
        <v>6000</v>
      </c>
    </row>
    <row r="4" spans="1:3" collapsed="1" x14ac:dyDescent="0.2">
      <c r="A4" s="2" t="s">
        <v>9</v>
      </c>
      <c r="B4" s="2"/>
      <c r="C4" s="2">
        <f>SUM(C2:C3)</f>
        <v>11000</v>
      </c>
    </row>
    <row r="5" spans="1:3" hidden="1" outlineLevel="1" x14ac:dyDescent="0.2">
      <c r="A5" s="2"/>
      <c r="B5" s="2" t="s">
        <v>13</v>
      </c>
      <c r="C5" s="2">
        <f>Enero!$B$3</f>
        <v>9600</v>
      </c>
    </row>
    <row r="6" spans="1:3" hidden="1" outlineLevel="1" collapsed="1" x14ac:dyDescent="0.2">
      <c r="A6" s="2"/>
      <c r="B6" s="2" t="s">
        <v>13</v>
      </c>
      <c r="C6" s="2">
        <f>Febrero!$B$3</f>
        <v>8700</v>
      </c>
    </row>
    <row r="7" spans="1:3" collapsed="1" x14ac:dyDescent="0.2">
      <c r="A7" s="2" t="s">
        <v>10</v>
      </c>
      <c r="B7" s="2"/>
      <c r="C7" s="2">
        <f>SUM(C5:C6)</f>
        <v>18300</v>
      </c>
    </row>
    <row r="8" spans="1:3" hidden="1" outlineLevel="1" x14ac:dyDescent="0.2">
      <c r="A8" s="2"/>
      <c r="B8" s="2" t="s">
        <v>13</v>
      </c>
      <c r="C8" s="2">
        <f>Enero!$B$4</f>
        <v>10000</v>
      </c>
    </row>
    <row r="9" spans="1:3" hidden="1" outlineLevel="1" collapsed="1" x14ac:dyDescent="0.2">
      <c r="A9" s="2"/>
      <c r="B9" s="2" t="s">
        <v>13</v>
      </c>
      <c r="C9" s="2">
        <f>Febrero!$B$4</f>
        <v>12000</v>
      </c>
    </row>
    <row r="10" spans="1:3" collapsed="1" x14ac:dyDescent="0.2">
      <c r="A10" s="2" t="s">
        <v>11</v>
      </c>
      <c r="B10" s="2"/>
      <c r="C10" s="2">
        <f>SUM(C8:C9)</f>
        <v>22000</v>
      </c>
    </row>
  </sheetData>
  <dataConsolidate leftLabels="1" topLabels="1" link="1">
    <dataRefs count="2">
      <dataRef ref="A1:B4" sheet="Enero"/>
      <dataRef ref="A1:B4" sheet="Febrero"/>
    </dataRefs>
  </dataConsolidate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9C5E-4F2C-480B-BCFE-40AE5F803108}">
  <dimension ref="A1:B4"/>
  <sheetViews>
    <sheetView workbookViewId="0">
      <selection activeCell="D11" sqref="D11"/>
    </sheetView>
  </sheetViews>
  <sheetFormatPr baseColWidth="10" defaultRowHeight="15" x14ac:dyDescent="0.2"/>
  <cols>
    <col min="1" max="1" width="12.44140625" bestFit="1" customWidth="1"/>
  </cols>
  <sheetData>
    <row r="1" spans="1:2" ht="15.75" x14ac:dyDescent="0.2">
      <c r="A1" s="26" t="s">
        <v>5</v>
      </c>
      <c r="B1" s="27" t="s">
        <v>20</v>
      </c>
    </row>
    <row r="2" spans="1:2" x14ac:dyDescent="0.2">
      <c r="A2" s="24" t="s">
        <v>9</v>
      </c>
      <c r="B2" s="25">
        <v>5000</v>
      </c>
    </row>
    <row r="3" spans="1:2" x14ac:dyDescent="0.2">
      <c r="A3" s="24" t="s">
        <v>10</v>
      </c>
      <c r="B3" s="25">
        <v>9600</v>
      </c>
    </row>
    <row r="4" spans="1:2" x14ac:dyDescent="0.2">
      <c r="A4" s="28" t="s">
        <v>11</v>
      </c>
      <c r="B4" s="29">
        <v>10000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7FE2-E65F-4942-81EB-6EEFA206AA44}">
  <dimension ref="A1:B4"/>
  <sheetViews>
    <sheetView workbookViewId="0">
      <selection activeCell="D8" sqref="D8"/>
    </sheetView>
  </sheetViews>
  <sheetFormatPr baseColWidth="10" defaultRowHeight="15" x14ac:dyDescent="0.2"/>
  <cols>
    <col min="1" max="1" width="12.44140625" bestFit="1" customWidth="1"/>
  </cols>
  <sheetData>
    <row r="1" spans="1:2" ht="15.75" x14ac:dyDescent="0.2">
      <c r="A1" s="26" t="s">
        <v>5</v>
      </c>
      <c r="B1" s="27" t="s">
        <v>20</v>
      </c>
    </row>
    <row r="2" spans="1:2" x14ac:dyDescent="0.2">
      <c r="A2" s="24" t="s">
        <v>9</v>
      </c>
      <c r="B2" s="25">
        <v>6000</v>
      </c>
    </row>
    <row r="3" spans="1:2" x14ac:dyDescent="0.2">
      <c r="A3" s="24" t="s">
        <v>10</v>
      </c>
      <c r="B3" s="25">
        <v>8700</v>
      </c>
    </row>
    <row r="4" spans="1:2" x14ac:dyDescent="0.2">
      <c r="A4" s="28" t="s">
        <v>11</v>
      </c>
      <c r="B4" s="29">
        <v>12000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Consignas</vt:lpstr>
      <vt:lpstr>Ejercicio 1</vt:lpstr>
      <vt:lpstr>Ejercicio 2</vt:lpstr>
      <vt:lpstr>Sucursal 1</vt:lpstr>
      <vt:lpstr>Sucursal 2</vt:lpstr>
      <vt:lpstr>Sucursal 3</vt:lpstr>
      <vt:lpstr>Resumen - Notas</vt:lpstr>
      <vt:lpstr>Matemática</vt:lpstr>
      <vt:lpstr>Historia</vt:lpstr>
      <vt:lpstr>Biología</vt:lpstr>
      <vt:lpstr>Resumen anual - Ventas</vt:lpstr>
      <vt:lpstr>Enero</vt:lpstr>
      <vt:lpstr>Febrero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BERTOTTI</dc:creator>
  <cp:lastModifiedBy>FABIAN BERTOTTI</cp:lastModifiedBy>
  <dcterms:created xsi:type="dcterms:W3CDTF">2025-10-18T16:57:56Z</dcterms:created>
  <dcterms:modified xsi:type="dcterms:W3CDTF">2025-10-19T00:30:04Z</dcterms:modified>
</cp:coreProperties>
</file>