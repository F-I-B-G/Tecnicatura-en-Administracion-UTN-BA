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itación a licitar - Benchmar" sheetId="1" r:id="rId4"/>
  </sheets>
  <definedNames/>
  <calcPr/>
</workbook>
</file>

<file path=xl/sharedStrings.xml><?xml version="1.0" encoding="utf-8"?>
<sst xmlns="http://schemas.openxmlformats.org/spreadsheetml/2006/main" count="307" uniqueCount="93">
  <si>
    <t>Administración del tiempo y de tareas</t>
  </si>
  <si>
    <t>Etapa 1 - Presentación e Invitación a licitar.</t>
  </si>
  <si>
    <t>Requisitos para cotización</t>
  </si>
  <si>
    <t>Etapa 2 - Colectar las propuestas recibidas</t>
  </si>
  <si>
    <t xml:space="preserve">Etapa 3 - Comparaciòn </t>
  </si>
  <si>
    <t xml:space="preserve">Etapa 4 - Designaciòn de ganador e informe al proveedor </t>
  </si>
  <si>
    <t>Compatibilidad técnica</t>
  </si>
  <si>
    <t>Compatibilidad Web</t>
  </si>
  <si>
    <t>Requisitos</t>
  </si>
  <si>
    <t>Microsoft (To Do)</t>
  </si>
  <si>
    <t>Trello (Atlassian)</t>
  </si>
  <si>
    <t xml:space="preserve"> Todoist (Doist)</t>
  </si>
  <si>
    <t>SUM de Trello (Atlassian)</t>
  </si>
  <si>
    <t>SUM de  Todoist (Doist)</t>
  </si>
  <si>
    <t>SUM de Microsoft (To Do)</t>
  </si>
  <si>
    <t>Puntajes de proveedor</t>
  </si>
  <si>
    <t>Compatibilidad Móvil</t>
  </si>
  <si>
    <t>Windows</t>
  </si>
  <si>
    <t>Windows, Mac</t>
  </si>
  <si>
    <t>Mac</t>
  </si>
  <si>
    <t>Api Disponible para personalización</t>
  </si>
  <si>
    <t>Funcionalidades Clave</t>
  </si>
  <si>
    <t>Proyecto y/o tarea individual</t>
  </si>
  <si>
    <t>iOS, Android</t>
  </si>
  <si>
    <t>Android</t>
  </si>
  <si>
    <t>Calendarios integrados, vista tipo Kaban</t>
  </si>
  <si>
    <t>1 - 3</t>
  </si>
  <si>
    <t>No aplica o Deficiente</t>
  </si>
  <si>
    <t>Subtarea, etiquetas, prioridades, recordatorios</t>
  </si>
  <si>
    <t>Sí</t>
  </si>
  <si>
    <t>4 - 7</t>
  </si>
  <si>
    <t>Cumple pero no destaca</t>
  </si>
  <si>
    <t>Si</t>
  </si>
  <si>
    <t>8 - 10</t>
  </si>
  <si>
    <t>Destaca</t>
  </si>
  <si>
    <t>Integraciones</t>
  </si>
  <si>
    <t>Si/No</t>
  </si>
  <si>
    <t>No</t>
  </si>
  <si>
    <t>Descuentos por licencias corporativas</t>
  </si>
  <si>
    <t>Si/No ¿cuales?</t>
  </si>
  <si>
    <t>Google Calendar, Outlook, Teams</t>
  </si>
  <si>
    <t>Slack, Google Calendar, Outlook, Teams</t>
  </si>
  <si>
    <t>CRM, Teams</t>
  </si>
  <si>
    <t>Idiomas disponibles</t>
  </si>
  <si>
    <t>Costos</t>
  </si>
  <si>
    <t>Plan Gratuito</t>
  </si>
  <si>
    <t>Planes Pagos</t>
  </si>
  <si>
    <t>Soporte y Disponibilidad</t>
  </si>
  <si>
    <t>Tiempo de soporte</t>
  </si>
  <si>
    <t>Seguridad</t>
  </si>
  <si>
    <t>Solo planes pagos</t>
  </si>
  <si>
    <t>Seguridad y Cumplimiento</t>
  </si>
  <si>
    <t>Si/no</t>
  </si>
  <si>
    <t>Inglés, Español</t>
  </si>
  <si>
    <t>Inglés, Español, Portugues</t>
  </si>
  <si>
    <t>Español, Inglés</t>
  </si>
  <si>
    <t>Cifrado de datos, MFA</t>
  </si>
  <si>
    <t>Cifrado de datos, MFA, Cumplimiento de GDPR</t>
  </si>
  <si>
    <t>Cifrado de datos, Otros - Indicar en la licitación</t>
  </si>
  <si>
    <t>Suma total</t>
  </si>
  <si>
    <t>Niveles de Importancia de ítems para aplicación métodos ponderados</t>
  </si>
  <si>
    <r>
      <rPr>
        <rFont val="Arial"/>
        <b/>
        <color theme="1"/>
      </rPr>
      <t xml:space="preserve"> Fecha límite para recibir propuesta:</t>
    </r>
    <r>
      <rPr>
        <rFont val="Arial"/>
        <color theme="1"/>
      </rPr>
      <t xml:space="preserve"> 26/08/2025</t>
    </r>
  </si>
  <si>
    <r>
      <rPr>
        <rFont val="Arial"/>
        <b/>
        <color theme="1"/>
      </rPr>
      <t xml:space="preserve">Fecha límite para aclarar dudas: </t>
    </r>
    <r>
      <rPr>
        <rFont val="Arial"/>
        <color theme="1"/>
      </rPr>
      <t>29/08/2025</t>
    </r>
  </si>
  <si>
    <r>
      <rPr>
        <rFont val="Arial"/>
        <b/>
        <color theme="1"/>
      </rPr>
      <t>Fecha límite para licitar:</t>
    </r>
    <r>
      <rPr>
        <rFont val="Arial"/>
        <color theme="1"/>
      </rPr>
      <t xml:space="preserve"> 05/09/2025</t>
    </r>
  </si>
  <si>
    <t>Total</t>
  </si>
  <si>
    <t>Seguimiento de proyecto Etapa 1</t>
  </si>
  <si>
    <t>Seguimiento de Proyecto en Etapa 2</t>
  </si>
  <si>
    <t>Seguimiento de proyecto en Etapa 3</t>
  </si>
  <si>
    <t>Seguimiento de Proyecto en Etapa 4</t>
  </si>
  <si>
    <t>Task</t>
  </si>
  <si>
    <t>Pending</t>
  </si>
  <si>
    <t>In Progress</t>
  </si>
  <si>
    <t>To Check</t>
  </si>
  <si>
    <t>Finished</t>
  </si>
  <si>
    <t>Invitación licitacion Trello</t>
  </si>
  <si>
    <t>✔</t>
  </si>
  <si>
    <t>Invitación licitacion ToDoist</t>
  </si>
  <si>
    <t>Invitación licitacion Microsoft To Do</t>
  </si>
  <si>
    <t>Envio de Planilla de requisitos Trello</t>
  </si>
  <si>
    <t>Envio de Planilla de requisitos ToDoist</t>
  </si>
  <si>
    <t>Envio de Planilla de requisitos Microsoft To Do</t>
  </si>
  <si>
    <t>Fijación de fechas límite p/3 Suppliers</t>
  </si>
  <si>
    <t>Consultas por proveedor Trello</t>
  </si>
  <si>
    <t>Consultas por proveedor Todoist</t>
  </si>
  <si>
    <t>Consultas por proveedor Microsoft To do</t>
  </si>
  <si>
    <t>Recepción de Planilla y cotización Trello</t>
  </si>
  <si>
    <t>Recepción de Planilla y cotización Todoist</t>
  </si>
  <si>
    <t>Recepcion de Planilla y cotización Microsoft To Do</t>
  </si>
  <si>
    <t>Etapa de comparación</t>
  </si>
  <si>
    <t>Selección de provedor ganador</t>
  </si>
  <si>
    <t>Aviso a proveedor ganador</t>
  </si>
  <si>
    <t>Aviso a proveedores no seleccionados</t>
  </si>
  <si>
    <t>Invitación a firmar contraro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</si>
</sst>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6">
    <font>
      <sz val="10.0"/>
      <color rgb="FF000000"/>
      <name val="Arial"/>
      <scheme val="minor"/>
    </font>
    <font>
      <b/>
      <sz val="17.0"/>
      <color rgb="FF000000"/>
      <name val="&quot;Open Sans&quot;"/>
    </font>
    <font>
      <b/>
      <sz val="12.0"/>
      <color rgb="FFFFFFFF"/>
      <name val="&quot;Open Sans&quot;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/>
    <font>
      <b/>
      <color theme="1"/>
      <name val="Arial"/>
      <scheme val="minor"/>
    </font>
    <font>
      <b/>
      <sz val="11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8.0"/>
      <color theme="1"/>
      <name val="Arial"/>
      <scheme val="minor"/>
    </font>
    <font>
      <b/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4DD0E1"/>
        <bgColor rgb="FF4DD0E1"/>
      </patternFill>
    </fill>
    <fill>
      <patternFill patternType="solid">
        <fgColor rgb="FF63D297"/>
        <bgColor rgb="FF63D297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B7B7B7"/>
        <bgColor rgb="FFB7B7B7"/>
      </patternFill>
    </fill>
  </fills>
  <borders count="27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797A7D"/>
      </left>
      <right style="thin">
        <color rgb="FFA1A3A6"/>
      </right>
      <top style="thin">
        <color rgb="FF797A7D"/>
      </top>
      <bottom style="thin">
        <color rgb="FF797A7D"/>
      </bottom>
    </border>
    <border>
      <left style="thin">
        <color rgb="FFFFE5A0"/>
      </left>
      <right style="thin">
        <color rgb="FFFFE5A0"/>
      </right>
      <top style="thin">
        <color rgb="FF797A7D"/>
      </top>
      <bottom style="thin">
        <color rgb="FF797A7D"/>
      </bottom>
    </border>
    <border>
      <left style="thin">
        <color rgb="FFA1A3A6"/>
      </left>
      <right style="thin">
        <color rgb="FFA1A3A6"/>
      </right>
      <top style="thin">
        <color rgb="FF797A7D"/>
      </top>
      <bottom style="thin">
        <color rgb="FF797A7D"/>
      </bottom>
    </border>
    <border>
      <left style="thin">
        <color rgb="FFA1A3A6"/>
      </left>
      <right style="thin">
        <color rgb="FF797A7D"/>
      </right>
      <top style="thin">
        <color rgb="FF797A7D"/>
      </top>
      <bottom style="thin">
        <color rgb="FF797A7D"/>
      </bottom>
    </border>
    <border>
      <left style="thin">
        <color rgb="FF797A7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FFFFFF"/>
      </left>
      <right style="thin">
        <color rgb="FF797A7D"/>
      </right>
      <top style="thin">
        <color rgb="FFFFFFFF"/>
      </top>
      <bottom style="thin">
        <color rgb="FFFFFFFF"/>
      </bottom>
    </border>
    <border>
      <left style="thin">
        <color rgb="FFB7E1CD"/>
      </left>
      <right style="thin">
        <color rgb="FF797A7D"/>
      </right>
      <top style="thin">
        <color rgb="FFB7E1CD"/>
      </top>
      <bottom style="thin">
        <color rgb="FFB7E1CD"/>
      </bottom>
    </border>
    <border>
      <left style="thin">
        <color rgb="FF797A7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97A7D"/>
      </right>
      <top style="thin">
        <color rgb="FFF6F8F9"/>
      </top>
      <bottom style="thin">
        <color rgb="FFF6F8F9"/>
      </bottom>
    </border>
    <border>
      <left style="thin">
        <color rgb="FFFFE5A0"/>
      </left>
      <right style="thin">
        <color rgb="FFFFE5A0"/>
      </right>
      <top style="thin">
        <color rgb="FFFFE5A0"/>
      </top>
      <bottom style="thin">
        <color rgb="FFFFE5A0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797A7D"/>
      </left>
      <right style="thin">
        <color rgb="FFF6F8F9"/>
      </right>
      <top style="thin">
        <color rgb="FFF6F8F9"/>
      </top>
      <bottom style="thin">
        <color rgb="FF797A7D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97A7D"/>
      </bottom>
    </border>
    <border>
      <left style="thin">
        <color rgb="FFF6F8F9"/>
      </left>
      <right style="thin">
        <color rgb="FF797A7D"/>
      </right>
      <top style="thin">
        <color rgb="FFF6F8F9"/>
      </top>
      <bottom style="thin">
        <color rgb="FF797A7D"/>
      </bottom>
    </border>
    <border>
      <left style="thin">
        <color rgb="FFFFE5A0"/>
      </left>
      <right style="thin">
        <color rgb="FFFFE5A0"/>
      </right>
      <top style="thin">
        <color rgb="FFFFE5A0"/>
      </top>
      <bottom style="thin">
        <color rgb="FF797A7D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3" fontId="3" numFmtId="0" xfId="0" applyAlignment="1" applyFill="1" applyFont="1">
      <alignment readingOrder="0" vertical="center"/>
    </xf>
    <xf borderId="0" fillId="4" fontId="3" numFmtId="0" xfId="0" applyAlignment="1" applyFill="1" applyFont="1">
      <alignment readingOrder="0" vertical="center"/>
    </xf>
    <xf borderId="0" fillId="4" fontId="4" numFmtId="0" xfId="0" applyAlignment="1" applyFont="1">
      <alignment vertical="center"/>
    </xf>
    <xf borderId="0" fillId="5" fontId="3" numFmtId="0" xfId="0" applyAlignment="1" applyFill="1" applyFont="1">
      <alignment readingOrder="0" vertical="center"/>
    </xf>
    <xf borderId="0" fillId="6" fontId="3" numFmtId="0" xfId="0" applyAlignment="1" applyFill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  <xf borderId="1" fillId="3" fontId="7" numFmtId="0" xfId="0" applyAlignment="1" applyBorder="1" applyFont="1">
      <alignment readingOrder="0" vertical="center"/>
    </xf>
    <xf borderId="2" fillId="3" fontId="7" numFmtId="0" xfId="0" applyAlignment="1" applyBorder="1" applyFont="1">
      <alignment readingOrder="0" vertical="center"/>
    </xf>
    <xf borderId="3" fillId="3" fontId="6" numFmtId="0" xfId="0" applyAlignment="1" applyBorder="1" applyFont="1">
      <alignment horizontal="left" vertical="center"/>
    </xf>
    <xf borderId="1" fillId="4" fontId="7" numFmtId="0" xfId="0" applyAlignment="1" applyBorder="1" applyFont="1">
      <alignment readingOrder="0" vertical="center"/>
    </xf>
    <xf borderId="2" fillId="7" fontId="8" numFmtId="0" xfId="0" applyBorder="1" applyFill="1" applyFont="1"/>
    <xf borderId="2" fillId="4" fontId="7" numFmtId="0" xfId="0" applyAlignment="1" applyBorder="1" applyFont="1">
      <alignment readingOrder="0" vertical="center"/>
    </xf>
    <xf borderId="3" fillId="4" fontId="7" numFmtId="0" xfId="0" applyAlignment="1" applyBorder="1" applyFont="1">
      <alignment readingOrder="0" vertical="center"/>
    </xf>
    <xf borderId="1" fillId="5" fontId="7" numFmtId="0" xfId="0" applyAlignment="1" applyBorder="1" applyFont="1">
      <alignment vertical="center"/>
    </xf>
    <xf borderId="2" fillId="5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readingOrder="0" vertical="center"/>
    </xf>
    <xf borderId="2" fillId="8" fontId="8" numFmtId="0" xfId="0" applyBorder="1" applyFill="1" applyFont="1"/>
    <xf borderId="3" fillId="5" fontId="7" numFmtId="0" xfId="0" applyAlignment="1" applyBorder="1" applyFont="1">
      <alignment vertical="center"/>
    </xf>
    <xf borderId="4" fillId="0" fontId="5" numFmtId="0" xfId="0" applyBorder="1" applyFont="1"/>
    <xf borderId="0" fillId="0" fontId="5" numFmtId="0" xfId="0" applyAlignment="1" applyFont="1">
      <alignment readingOrder="0"/>
    </xf>
    <xf borderId="5" fillId="0" fontId="5" numFmtId="0" xfId="0" applyAlignment="1" applyBorder="1" applyFont="1">
      <alignment horizontal="left"/>
    </xf>
    <xf borderId="4" fillId="2" fontId="9" numFmtId="0" xfId="0" applyAlignment="1" applyBorder="1" applyFont="1">
      <alignment readingOrder="0" vertical="top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5" fillId="2" fontId="5" numFmtId="0" xfId="0" applyAlignment="1" applyBorder="1" applyFont="1">
      <alignment horizontal="left" readingOrder="0"/>
    </xf>
    <xf borderId="0" fillId="0" fontId="9" numFmtId="0" xfId="0" applyAlignment="1" applyFont="1">
      <alignment horizontal="center"/>
    </xf>
    <xf borderId="5" fillId="0" fontId="9" numFmtId="0" xfId="0" applyAlignment="1" applyBorder="1" applyFont="1">
      <alignment horizontal="center"/>
    </xf>
    <xf borderId="0" fillId="0" fontId="5" numFmtId="0" xfId="0" applyFont="1"/>
    <xf borderId="4" fillId="2" fontId="6" numFmtId="0" xfId="0" applyBorder="1" applyFont="1"/>
    <xf borderId="0" fillId="2" fontId="6" numFmtId="0" xfId="0" applyFont="1"/>
    <xf borderId="5" fillId="2" fontId="6" numFmtId="0" xfId="0" applyBorder="1" applyFont="1"/>
    <xf borderId="4" fillId="0" fontId="9" numFmtId="0" xfId="0" applyAlignment="1" applyBorder="1" applyFont="1">
      <alignment readingOrder="0"/>
    </xf>
    <xf borderId="4" fillId="9" fontId="8" numFmtId="0" xfId="0" applyBorder="1" applyFill="1" applyFont="1"/>
    <xf borderId="4" fillId="10" fontId="6" numFmtId="0" xfId="0" applyBorder="1" applyFill="1" applyFont="1"/>
    <xf borderId="0" fillId="10" fontId="10" numFmtId="0" xfId="0" applyAlignment="1" applyFont="1">
      <alignment readingOrder="0"/>
    </xf>
    <xf borderId="5" fillId="10" fontId="6" numFmtId="0" xfId="0" applyBorder="1" applyFont="1"/>
    <xf borderId="0" fillId="2" fontId="5" numFmtId="0" xfId="0" applyAlignment="1" applyFont="1">
      <alignment horizontal="left" readingOrder="0"/>
    </xf>
    <xf borderId="5" fillId="2" fontId="5" numFmtId="0" xfId="0" applyAlignment="1" applyBorder="1" applyFont="1">
      <alignment horizontal="left" readingOrder="0"/>
    </xf>
    <xf borderId="0" fillId="2" fontId="10" numFmtId="0" xfId="0" applyAlignment="1" applyFont="1">
      <alignment readingOrder="0"/>
    </xf>
    <xf borderId="5" fillId="2" fontId="6" numFmtId="0" xfId="0" applyAlignment="1" applyBorder="1" applyFont="1">
      <alignment readingOrder="0"/>
    </xf>
    <xf borderId="6" fillId="10" fontId="6" numFmtId="0" xfId="0" applyBorder="1" applyFont="1"/>
    <xf borderId="7" fillId="10" fontId="10" numFmtId="0" xfId="0" applyAlignment="1" applyBorder="1" applyFont="1">
      <alignment readingOrder="0"/>
    </xf>
    <xf borderId="8" fillId="10" fontId="6" numFmtId="0" xfId="0" applyAlignment="1" applyBorder="1" applyFont="1">
      <alignment readingOrder="0"/>
    </xf>
    <xf borderId="0" fillId="2" fontId="5" numFmtId="0" xfId="0" applyFont="1"/>
    <xf borderId="0" fillId="2" fontId="5" numFmtId="164" xfId="0" applyAlignment="1" applyFont="1" applyNumberFormat="1">
      <alignment horizontal="left" readingOrder="0"/>
    </xf>
    <xf borderId="6" fillId="0" fontId="9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horizontal="left"/>
    </xf>
    <xf borderId="6" fillId="2" fontId="9" numFmtId="0" xfId="0" applyAlignment="1" applyBorder="1" applyFont="1">
      <alignment readingOrder="0" vertical="top"/>
    </xf>
    <xf borderId="7" fillId="9" fontId="8" numFmtId="0" xfId="0" applyBorder="1" applyFont="1"/>
    <xf borderId="7" fillId="2" fontId="5" numFmtId="0" xfId="0" applyAlignment="1" applyBorder="1" applyFont="1">
      <alignment readingOrder="0"/>
    </xf>
    <xf borderId="7" fillId="2" fontId="5" numFmtId="0" xfId="0" applyAlignment="1" applyBorder="1" applyFont="1">
      <alignment horizontal="left" readingOrder="0"/>
    </xf>
    <xf borderId="8" fillId="2" fontId="5" numFmtId="0" xfId="0" applyAlignment="1" applyBorder="1" applyFont="1">
      <alignment horizontal="left" readingOrder="0"/>
    </xf>
    <xf borderId="6" fillId="0" fontId="11" numFmtId="0" xfId="0" applyAlignment="1" applyBorder="1" applyFont="1">
      <alignment vertical="center"/>
    </xf>
    <xf borderId="7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0" fillId="0" fontId="12" numFmtId="0" xfId="0" applyFont="1"/>
    <xf borderId="1" fillId="4" fontId="4" numFmtId="0" xfId="0" applyAlignment="1" applyBorder="1" applyFont="1">
      <alignment readingOrder="0" vertical="center"/>
    </xf>
    <xf borderId="2" fillId="11" fontId="8" numFmtId="0" xfId="0" applyBorder="1" applyFill="1" applyFont="1"/>
    <xf borderId="3" fillId="4" fontId="13" numFmtId="0" xfId="0" applyAlignment="1" applyBorder="1" applyFont="1">
      <alignment horizontal="left"/>
    </xf>
    <xf borderId="0" fillId="0" fontId="13" numFmtId="0" xfId="0" applyFont="1"/>
    <xf borderId="1" fillId="5" fontId="4" numFmtId="0" xfId="0" applyAlignment="1" applyBorder="1" applyFont="1">
      <alignment vertical="center"/>
    </xf>
    <xf borderId="2" fillId="5" fontId="4" numFmtId="0" xfId="0" applyAlignment="1" applyBorder="1" applyFont="1">
      <alignment vertical="center"/>
    </xf>
    <xf borderId="2" fillId="5" fontId="4" numFmtId="0" xfId="0" applyAlignment="1" applyBorder="1" applyFont="1">
      <alignment horizontal="center" vertical="center"/>
    </xf>
    <xf borderId="3" fillId="5" fontId="4" numFmtId="0" xfId="0" applyAlignment="1" applyBorder="1" applyFont="1">
      <alignment vertical="center"/>
    </xf>
    <xf borderId="5" fillId="2" fontId="5" numFmtId="9" xfId="0" applyAlignment="1" applyBorder="1" applyFont="1" applyNumberFormat="1">
      <alignment horizontal="left" readingOrder="0"/>
    </xf>
    <xf borderId="4" fillId="0" fontId="9" numFmtId="0" xfId="0" applyAlignment="1" applyBorder="1" applyFont="1">
      <alignment readingOrder="0" vertical="top"/>
    </xf>
    <xf borderId="0" fillId="0" fontId="9" numFmtId="0" xfId="0" applyAlignment="1" applyFont="1">
      <alignment horizontal="center" readingOrder="0"/>
    </xf>
    <xf borderId="0" fillId="0" fontId="14" numFmtId="0" xfId="0" applyFont="1"/>
    <xf borderId="5" fillId="0" fontId="14" numFmtId="0" xfId="0" applyBorder="1" applyFont="1"/>
    <xf borderId="4" fillId="12" fontId="8" numFmtId="0" xfId="0" applyBorder="1" applyFill="1" applyFont="1"/>
    <xf borderId="4" fillId="2" fontId="8" numFmtId="0" xfId="0" applyBorder="1" applyFont="1"/>
    <xf borderId="0" fillId="0" fontId="5" numFmtId="0" xfId="0" applyAlignment="1" applyFont="1">
      <alignment readingOrder="0"/>
    </xf>
    <xf borderId="6" fillId="0" fontId="9" numFmtId="0" xfId="0" applyAlignment="1" applyBorder="1" applyFont="1">
      <alignment readingOrder="0" vertical="top"/>
    </xf>
    <xf borderId="7" fillId="0" fontId="9" numFmtId="0" xfId="0" applyAlignment="1" applyBorder="1" applyFont="1">
      <alignment horizontal="center" readingOrder="0"/>
    </xf>
    <xf borderId="7" fillId="0" fontId="14" numFmtId="0" xfId="0" applyBorder="1" applyFont="1"/>
    <xf borderId="8" fillId="0" fontId="14" numFmtId="0" xfId="0" applyBorder="1" applyFont="1"/>
    <xf borderId="6" fillId="2" fontId="9" numFmtId="0" xfId="0" applyAlignment="1" applyBorder="1" applyFont="1">
      <alignment horizontal="left" readingOrder="0"/>
    </xf>
    <xf borderId="7" fillId="12" fontId="8" numFmtId="0" xfId="0" applyBorder="1" applyFont="1"/>
    <xf borderId="8" fillId="2" fontId="9" numFmtId="9" xfId="0" applyAlignment="1" applyBorder="1" applyFont="1" applyNumberFormat="1">
      <alignment horizontal="left"/>
    </xf>
    <xf borderId="0" fillId="13" fontId="9" numFmtId="0" xfId="0" applyAlignment="1" applyFill="1" applyFont="1">
      <alignment readingOrder="0"/>
    </xf>
    <xf borderId="9" fillId="0" fontId="15" numFmtId="0" xfId="0" applyAlignment="1" applyBorder="1" applyFont="1">
      <alignment horizontal="left" readingOrder="0" shrinkToFit="0" vertical="center" wrapText="1"/>
    </xf>
    <xf borderId="10" fillId="0" fontId="15" numFmtId="0" xfId="0" applyAlignment="1" applyBorder="1" applyFont="1">
      <alignment horizontal="left" readingOrder="0" shrinkToFit="0" vertical="center" wrapText="1"/>
    </xf>
    <xf borderId="11" fillId="0" fontId="15" numFmtId="0" xfId="0" applyAlignment="1" applyBorder="1" applyFont="1">
      <alignment horizontal="left" readingOrder="0" shrinkToFit="0" vertical="center" wrapText="1"/>
    </xf>
    <xf borderId="12" fillId="0" fontId="15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readingOrder="0" shrinkToFit="0" vertical="center" wrapText="0"/>
    </xf>
    <xf borderId="14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readingOrder="0" shrinkToFit="0" vertical="center" wrapText="0"/>
    </xf>
    <xf borderId="16" fillId="0" fontId="5" numFmtId="0" xfId="0" applyAlignment="1" applyBorder="1" applyFont="1">
      <alignment shrinkToFit="0" vertical="center" wrapText="0"/>
    </xf>
    <xf borderId="17" fillId="0" fontId="5" numFmtId="0" xfId="0" applyAlignment="1" applyBorder="1" applyFont="1">
      <alignment readingOrder="0" shrinkToFit="0" vertical="center" wrapText="0"/>
    </xf>
    <xf borderId="18" fillId="0" fontId="5" numFmtId="0" xfId="0" applyAlignment="1" applyBorder="1" applyFont="1">
      <alignment readingOrder="0" shrinkToFit="0" vertical="center" wrapText="0"/>
    </xf>
    <xf borderId="19" fillId="0" fontId="5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readingOrder="0" shrinkToFit="0" vertical="center" wrapText="0"/>
    </xf>
    <xf borderId="22" fillId="0" fontId="5" numFmtId="0" xfId="0" applyAlignment="1" applyBorder="1" applyFont="1">
      <alignment readingOrder="0" shrinkToFit="0" vertical="center" wrapText="0"/>
    </xf>
    <xf borderId="23" fillId="0" fontId="5" numFmtId="0" xfId="0" applyAlignment="1" applyBorder="1" applyFont="1">
      <alignment readingOrder="0" shrinkToFit="0" vertical="center" wrapText="0"/>
    </xf>
    <xf borderId="24" fillId="0" fontId="5" numFmtId="0" xfId="0" applyAlignment="1" applyBorder="1" applyFont="1">
      <alignment shrinkToFit="0" vertical="center" wrapText="0"/>
    </xf>
    <xf borderId="25" fillId="0" fontId="5" numFmtId="0" xfId="0" applyAlignment="1" applyBorder="1" applyFont="1">
      <alignment shrinkToFit="0" vertical="center" wrapText="0"/>
    </xf>
    <xf borderId="26" fillId="0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13"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A1A3A6"/>
          <bgColor rgb="FFA1A3A6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Invitación a licitar - Benchmar-style">
      <tableStyleElement dxfId="5" type="headerRow"/>
      <tableStyleElement dxfId="6" type="firstRowStripe"/>
      <tableStyleElement dxfId="7" type="secondRowStripe"/>
    </tableStyle>
    <tableStyle count="3" pivot="0" name="Invitación a licitar - Benchmar-style 2">
      <tableStyleElement dxfId="8" type="headerRow"/>
      <tableStyleElement dxfId="9" type="firstRowStripe"/>
      <tableStyleElement dxfId="10" type="secondRowStripe"/>
    </tableStyle>
    <tableStyle count="3" pivot="0" name="Invitación a licitar - Benchmar-style 3">
      <tableStyleElement dxfId="8" type="headerRow"/>
      <tableStyleElement dxfId="9" type="firstRowStripe"/>
      <tableStyleElement dxfId="10" type="secondRowStripe"/>
    </tableStyle>
    <tableStyle count="3" pivot="0" name="Invitación a licitar - Benchmar-style 4">
      <tableStyleElement dxfId="11" type="headerRow"/>
      <tableStyleElement dxfId="9" type="firstRowStripe"/>
      <tableStyleElement dxfId="12" type="secondRowStripe"/>
    </tableStyle>
    <tableStyle count="3" pivot="0" name="Invitación a licitar - Benchmar-style 5">
      <tableStyleElement dxfId="11" type="headerRow"/>
      <tableStyleElement dxfId="9" type="firstRowStripe"/>
      <tableStyleElement dxfId="12" type="secondRowStripe"/>
    </tableStyle>
    <tableStyle count="3" pivot="0" name="Invitación a licitar - Benchmar-style 6">
      <tableStyleElement dxfId="11" type="headerRow"/>
      <tableStyleElement dxfId="9" type="firstRowStripe"/>
      <tableStyleElement dxfId="12" type="secondRowStripe"/>
    </tableStyle>
    <tableStyle count="3" pivot="0" name="Invitación a licitar - Benchmar-style 7">
      <tableStyleElement dxfId="11" type="headerRow"/>
      <tableStyleElement dxfId="9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1676400</xdr:colOff>
      <xdr:row>1</xdr:row>
      <xdr:rowOff>66675</xdr:rowOff>
    </xdr:from>
    <xdr:ext cx="1628775" cy="476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8097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247650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E6:G18" displayName="Table_1" name="Table_1" id="1">
  <tableColumns count="3">
    <tableColumn name="Column1" id="1"/>
    <tableColumn name="Column2" id="2"/>
    <tableColumn name="Column3" id="3"/>
  </tableColumns>
  <tableStyleInfo name="Invitación a licitar - Benchm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P6:S2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Invitación a licitar - Benchma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P25:W3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vitación a licitar - Benchma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B45:F63" displayName="Estado_" name="Estado_" id="4">
  <tableColumns count="5">
    <tableColumn name="Task" id="1"/>
    <tableColumn name="Pending" id="2"/>
    <tableColumn name="In Progress" id="3"/>
    <tableColumn name="To Check" id="4"/>
    <tableColumn name="Finished" id="5"/>
  </tableColumns>
  <tableStyleInfo name="Invitación a licitar - Benchmar-style 4" showColumnStripes="0" showFirstColumn="1" showLastColumn="1" showRowStripes="1"/>
</table>
</file>

<file path=xl/tables/table5.xml><?xml version="1.0" encoding="utf-8"?>
<table xmlns="http://schemas.openxmlformats.org/spreadsheetml/2006/main" ref="I45:M63" displayName="Etapa_2" name="Etapa_2" id="5">
  <tableColumns count="5">
    <tableColumn name="Task" id="1"/>
    <tableColumn name="Pending" id="2"/>
    <tableColumn name="In Progress" id="3"/>
    <tableColumn name="To Check" id="4"/>
    <tableColumn name="Finished" id="5"/>
  </tableColumns>
  <tableStyleInfo name="Invitación a licitar - Benchmar-style 5" showColumnStripes="0" showFirstColumn="1" showLastColumn="1" showRowStripes="1"/>
</table>
</file>

<file path=xl/tables/table6.xml><?xml version="1.0" encoding="utf-8"?>
<table xmlns="http://schemas.openxmlformats.org/spreadsheetml/2006/main" ref="P45:T63" displayName="Etapa_3" name="Etapa_3" id="6">
  <tableColumns count="5">
    <tableColumn name="Task" id="1"/>
    <tableColumn name="Pending" id="2"/>
    <tableColumn name="In Progress" id="3"/>
    <tableColumn name="To Check" id="4"/>
    <tableColumn name="Finished" id="5"/>
  </tableColumns>
  <tableStyleInfo name="Invitación a licitar - Benchmar-style 6" showColumnStripes="0" showFirstColumn="1" showLastColumn="1" showRowStripes="1"/>
</table>
</file>

<file path=xl/tables/table7.xml><?xml version="1.0" encoding="utf-8"?>
<table xmlns="http://schemas.openxmlformats.org/spreadsheetml/2006/main" ref="X45:AB63" displayName="Etapa_4" name="Etapa_4" id="7">
  <tableColumns count="5">
    <tableColumn name="Task" id="1"/>
    <tableColumn name="Pending" id="2"/>
    <tableColumn name="In Progress" id="3"/>
    <tableColumn name="To Check" id="4"/>
    <tableColumn name="Finished" id="5"/>
  </tableColumns>
  <tableStyleInfo name="Invitación a licitar - Benchmar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1A3A6"/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8.25"/>
    <col customWidth="1" min="2" max="2" width="39.75"/>
    <col customWidth="1" min="3" max="6" width="37.38"/>
    <col customWidth="1" min="8" max="8" width="8.75"/>
    <col customWidth="1" min="9" max="9" width="33.13" outlineLevel="1"/>
    <col min="10" max="10" width="12.63" outlineLevel="1"/>
    <col customWidth="1" min="11" max="11" width="37.5" outlineLevel="1"/>
    <col customWidth="1" min="12" max="14" width="24.25" outlineLevel="1"/>
    <col customWidth="1" min="16" max="16" width="36.0" outlineLevel="1"/>
    <col customWidth="1" min="17" max="17" width="28.88" outlineLevel="1"/>
    <col customWidth="1" min="18" max="18" width="19.75" outlineLevel="1"/>
    <col customWidth="1" min="19" max="19" width="19.5" outlineLevel="1"/>
    <col customWidth="1" min="20" max="20" width="12.63" outlineLevel="1"/>
    <col customWidth="1" min="21" max="21" width="20.25" outlineLevel="1"/>
    <col customWidth="1" min="22" max="22" width="12.5" outlineLevel="1"/>
    <col customWidth="1" min="23" max="23" width="21.0" outlineLevel="1"/>
    <col customWidth="1" min="24" max="24" width="28.63"/>
    <col customWidth="1" min="25" max="28" width="24.13"/>
    <col customWidth="1" min="29" max="29" width="34.13"/>
  </cols>
  <sheetData>
    <row r="1">
      <c r="A1" s="1"/>
      <c r="B1" s="1"/>
    </row>
    <row r="2" ht="43.5" customHeight="1">
      <c r="A2" s="1"/>
      <c r="B2" s="1" t="s">
        <v>0</v>
      </c>
    </row>
    <row r="3" ht="13.5" customHeight="1"/>
    <row r="4" ht="40.5" customHeight="1" outlineLevel="1">
      <c r="A4" s="2"/>
      <c r="B4" s="3" t="s">
        <v>1</v>
      </c>
      <c r="E4" s="3" t="s">
        <v>2</v>
      </c>
      <c r="I4" s="4" t="s">
        <v>3</v>
      </c>
      <c r="J4" s="5"/>
      <c r="K4" s="5"/>
      <c r="L4" s="5"/>
      <c r="M4" s="5"/>
      <c r="N4" s="5"/>
      <c r="O4" s="5"/>
      <c r="P4" s="6" t="s">
        <v>4</v>
      </c>
      <c r="Q4" s="6"/>
      <c r="R4" s="6"/>
      <c r="S4" s="6"/>
      <c r="T4" s="6"/>
      <c r="X4" s="7" t="s">
        <v>5</v>
      </c>
      <c r="AE4" s="8"/>
      <c r="AF4" s="8"/>
      <c r="AG4" s="8"/>
      <c r="AH4" s="8"/>
      <c r="AI4" s="8"/>
      <c r="AJ4" s="8"/>
    </row>
    <row r="5" outlineLevel="1">
      <c r="B5" s="9"/>
      <c r="G5" s="10"/>
    </row>
    <row r="6" ht="27.0" customHeight="1" outlineLevel="1">
      <c r="A6" s="11"/>
      <c r="E6" s="12" t="s">
        <v>6</v>
      </c>
      <c r="F6" s="13" t="s">
        <v>7</v>
      </c>
      <c r="G6" s="14"/>
      <c r="H6" s="11"/>
      <c r="I6" s="15" t="s">
        <v>8</v>
      </c>
      <c r="J6" s="16"/>
      <c r="K6" s="16"/>
      <c r="L6" s="17" t="s">
        <v>9</v>
      </c>
      <c r="M6" s="17" t="s">
        <v>10</v>
      </c>
      <c r="N6" s="18" t="s">
        <v>11</v>
      </c>
      <c r="O6" s="11"/>
      <c r="P6" s="19"/>
      <c r="Q6" s="20" t="s">
        <v>12</v>
      </c>
      <c r="R6" s="20" t="s">
        <v>13</v>
      </c>
      <c r="S6" s="21" t="s">
        <v>14</v>
      </c>
      <c r="T6" s="11"/>
      <c r="U6" s="22" t="s">
        <v>15</v>
      </c>
      <c r="V6" s="23"/>
      <c r="W6" s="24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outlineLevel="1">
      <c r="E7" s="25"/>
      <c r="F7" s="26" t="s">
        <v>16</v>
      </c>
      <c r="G7" s="27"/>
      <c r="I7" s="28" t="s">
        <v>6</v>
      </c>
      <c r="K7" s="29" t="s">
        <v>7</v>
      </c>
      <c r="L7" s="30" t="s">
        <v>17</v>
      </c>
      <c r="M7" s="30" t="s">
        <v>18</v>
      </c>
      <c r="N7" s="31" t="s">
        <v>19</v>
      </c>
      <c r="P7" s="25" t="s">
        <v>20</v>
      </c>
      <c r="Q7" s="32">
        <v>9.0</v>
      </c>
      <c r="R7" s="32">
        <v>3.0</v>
      </c>
      <c r="S7" s="33">
        <v>10.0</v>
      </c>
      <c r="T7" s="34"/>
      <c r="U7" s="35"/>
      <c r="V7" s="36"/>
      <c r="W7" s="37"/>
      <c r="Y7" s="9"/>
    </row>
    <row r="8" outlineLevel="1">
      <c r="E8" s="38" t="s">
        <v>21</v>
      </c>
      <c r="F8" s="26" t="s">
        <v>22</v>
      </c>
      <c r="G8" s="27"/>
      <c r="I8" s="39"/>
      <c r="K8" s="29" t="s">
        <v>16</v>
      </c>
      <c r="L8" s="30" t="s">
        <v>23</v>
      </c>
      <c r="M8" s="30" t="s">
        <v>23</v>
      </c>
      <c r="N8" s="31" t="s">
        <v>24</v>
      </c>
      <c r="P8" s="25" t="s">
        <v>25</v>
      </c>
      <c r="Q8" s="32">
        <v>9.0</v>
      </c>
      <c r="R8" s="32">
        <v>10.0</v>
      </c>
      <c r="S8" s="33">
        <v>2.0</v>
      </c>
      <c r="T8" s="34"/>
      <c r="U8" s="40"/>
      <c r="V8" s="41" t="s">
        <v>26</v>
      </c>
      <c r="W8" s="42" t="s">
        <v>27</v>
      </c>
    </row>
    <row r="9" outlineLevel="1">
      <c r="E9" s="25"/>
      <c r="F9" s="26" t="s">
        <v>28</v>
      </c>
      <c r="G9" s="27"/>
      <c r="I9" s="28" t="s">
        <v>21</v>
      </c>
      <c r="K9" s="29" t="s">
        <v>22</v>
      </c>
      <c r="L9" s="43" t="s">
        <v>29</v>
      </c>
      <c r="M9" s="43" t="s">
        <v>29</v>
      </c>
      <c r="N9" s="44" t="s">
        <v>29</v>
      </c>
      <c r="P9" s="25" t="s">
        <v>16</v>
      </c>
      <c r="Q9" s="32">
        <v>7.0</v>
      </c>
      <c r="R9" s="32">
        <v>7.0</v>
      </c>
      <c r="S9" s="33">
        <v>7.0</v>
      </c>
      <c r="T9" s="34"/>
      <c r="U9" s="35"/>
      <c r="V9" s="45" t="s">
        <v>30</v>
      </c>
      <c r="W9" s="46" t="s">
        <v>31</v>
      </c>
    </row>
    <row r="10" outlineLevel="1">
      <c r="E10" s="25"/>
      <c r="F10" s="26" t="s">
        <v>25</v>
      </c>
      <c r="G10" s="27"/>
      <c r="I10" s="39"/>
      <c r="K10" s="29" t="s">
        <v>28</v>
      </c>
      <c r="L10" s="43" t="s">
        <v>32</v>
      </c>
      <c r="M10" s="43" t="s">
        <v>32</v>
      </c>
      <c r="N10" s="44" t="s">
        <v>32</v>
      </c>
      <c r="P10" s="25" t="s">
        <v>7</v>
      </c>
      <c r="Q10" s="32">
        <v>7.0</v>
      </c>
      <c r="R10" s="32">
        <v>5.0</v>
      </c>
      <c r="S10" s="33">
        <v>6.0</v>
      </c>
      <c r="T10" s="34"/>
      <c r="U10" s="47"/>
      <c r="V10" s="48" t="s">
        <v>33</v>
      </c>
      <c r="W10" s="49" t="s">
        <v>34</v>
      </c>
    </row>
    <row r="11" outlineLevel="1">
      <c r="E11" s="38" t="s">
        <v>35</v>
      </c>
      <c r="F11" s="26" t="s">
        <v>36</v>
      </c>
      <c r="G11" s="27"/>
      <c r="I11" s="39"/>
      <c r="K11" s="29" t="s">
        <v>25</v>
      </c>
      <c r="L11" s="43" t="s">
        <v>37</v>
      </c>
      <c r="M11" s="43" t="s">
        <v>32</v>
      </c>
      <c r="N11" s="44" t="s">
        <v>32</v>
      </c>
      <c r="P11" s="25" t="s">
        <v>38</v>
      </c>
      <c r="Q11" s="32">
        <v>9.0</v>
      </c>
      <c r="R11" s="32">
        <v>10.0</v>
      </c>
      <c r="S11" s="33">
        <v>6.0</v>
      </c>
      <c r="T11" s="34"/>
      <c r="U11" s="50"/>
      <c r="V11" s="50"/>
      <c r="W11" s="50"/>
    </row>
    <row r="12" outlineLevel="1">
      <c r="E12" s="25"/>
      <c r="F12" s="26" t="s">
        <v>20</v>
      </c>
      <c r="G12" s="27"/>
      <c r="I12" s="28" t="s">
        <v>35</v>
      </c>
      <c r="K12" s="29" t="s">
        <v>39</v>
      </c>
      <c r="L12" s="30" t="s">
        <v>40</v>
      </c>
      <c r="M12" s="30" t="s">
        <v>41</v>
      </c>
      <c r="N12" s="31" t="s">
        <v>42</v>
      </c>
      <c r="P12" s="25" t="s">
        <v>43</v>
      </c>
      <c r="Q12" s="32">
        <v>7.0</v>
      </c>
      <c r="R12" s="32">
        <v>6.0</v>
      </c>
      <c r="S12" s="33">
        <v>6.0</v>
      </c>
      <c r="T12" s="34"/>
    </row>
    <row r="13" outlineLevel="1">
      <c r="E13" s="38" t="s">
        <v>44</v>
      </c>
      <c r="F13" s="26" t="s">
        <v>45</v>
      </c>
      <c r="G13" s="27"/>
      <c r="I13" s="39"/>
      <c r="K13" s="29" t="s">
        <v>20</v>
      </c>
      <c r="L13" s="43" t="s">
        <v>32</v>
      </c>
      <c r="M13" s="43" t="s">
        <v>32</v>
      </c>
      <c r="N13" s="44" t="s">
        <v>37</v>
      </c>
      <c r="P13" s="25" t="s">
        <v>45</v>
      </c>
      <c r="Q13" s="32">
        <v>8.0</v>
      </c>
      <c r="R13" s="32">
        <v>10.0</v>
      </c>
      <c r="S13" s="33">
        <v>10.0</v>
      </c>
      <c r="T13" s="34"/>
    </row>
    <row r="14" outlineLevel="1">
      <c r="E14" s="25"/>
      <c r="F14" s="26" t="s">
        <v>46</v>
      </c>
      <c r="G14" s="27"/>
      <c r="I14" s="28" t="s">
        <v>44</v>
      </c>
      <c r="K14" s="29" t="s">
        <v>45</v>
      </c>
      <c r="L14" s="43" t="s">
        <v>32</v>
      </c>
      <c r="M14" s="43" t="s">
        <v>32</v>
      </c>
      <c r="N14" s="44" t="s">
        <v>32</v>
      </c>
      <c r="P14" s="25" t="s">
        <v>46</v>
      </c>
      <c r="Q14" s="32">
        <v>8.0</v>
      </c>
      <c r="R14" s="32">
        <v>10.0</v>
      </c>
      <c r="S14" s="33">
        <v>10.0</v>
      </c>
      <c r="T14" s="34"/>
    </row>
    <row r="15" outlineLevel="1">
      <c r="E15" s="25"/>
      <c r="F15" s="26" t="s">
        <v>38</v>
      </c>
      <c r="G15" s="27"/>
      <c r="I15" s="39"/>
      <c r="K15" s="29" t="s">
        <v>46</v>
      </c>
      <c r="L15" s="43" t="s">
        <v>32</v>
      </c>
      <c r="M15" s="43" t="s">
        <v>32</v>
      </c>
      <c r="N15" s="44" t="s">
        <v>32</v>
      </c>
      <c r="P15" s="25" t="s">
        <v>22</v>
      </c>
      <c r="Q15" s="32">
        <v>9.0</v>
      </c>
      <c r="R15" s="32">
        <v>10.0</v>
      </c>
      <c r="S15" s="33">
        <v>10.0</v>
      </c>
      <c r="T15" s="34"/>
    </row>
    <row r="16" outlineLevel="1">
      <c r="E16" s="38" t="s">
        <v>47</v>
      </c>
      <c r="F16" s="26" t="s">
        <v>48</v>
      </c>
      <c r="G16" s="27"/>
      <c r="I16" s="39"/>
      <c r="K16" s="29" t="s">
        <v>38</v>
      </c>
      <c r="L16" s="43" t="s">
        <v>37</v>
      </c>
      <c r="M16" s="43" t="s">
        <v>32</v>
      </c>
      <c r="N16" s="44" t="s">
        <v>32</v>
      </c>
      <c r="P16" s="25" t="s">
        <v>49</v>
      </c>
      <c r="Q16" s="32">
        <v>9.0</v>
      </c>
      <c r="R16" s="32">
        <v>8.0</v>
      </c>
      <c r="S16" s="33">
        <v>5.0</v>
      </c>
      <c r="T16" s="34"/>
    </row>
    <row r="17" outlineLevel="1">
      <c r="E17" s="25"/>
      <c r="F17" s="26" t="s">
        <v>43</v>
      </c>
      <c r="G17" s="27"/>
      <c r="I17" s="28" t="s">
        <v>47</v>
      </c>
      <c r="K17" s="29" t="s">
        <v>48</v>
      </c>
      <c r="L17" s="51">
        <v>45862.0</v>
      </c>
      <c r="M17" s="51">
        <v>45862.0</v>
      </c>
      <c r="N17" s="44" t="s">
        <v>50</v>
      </c>
      <c r="P17" s="25" t="s">
        <v>39</v>
      </c>
      <c r="Q17" s="32">
        <v>8.0</v>
      </c>
      <c r="R17" s="32">
        <v>4.0</v>
      </c>
      <c r="S17" s="33">
        <v>6.0</v>
      </c>
      <c r="T17" s="34"/>
    </row>
    <row r="18" outlineLevel="1">
      <c r="E18" s="52" t="s">
        <v>51</v>
      </c>
      <c r="F18" s="53" t="s">
        <v>52</v>
      </c>
      <c r="G18" s="54"/>
      <c r="I18" s="39"/>
      <c r="K18" s="29" t="s">
        <v>43</v>
      </c>
      <c r="L18" s="30" t="s">
        <v>53</v>
      </c>
      <c r="M18" s="30" t="s">
        <v>54</v>
      </c>
      <c r="N18" s="31" t="s">
        <v>55</v>
      </c>
      <c r="P18" s="25" t="s">
        <v>28</v>
      </c>
      <c r="Q18" s="32">
        <v>8.0</v>
      </c>
      <c r="R18" s="32">
        <v>10.0</v>
      </c>
      <c r="S18" s="33">
        <v>10.0</v>
      </c>
      <c r="T18" s="34"/>
    </row>
    <row r="19" outlineLevel="1">
      <c r="I19" s="55" t="s">
        <v>51</v>
      </c>
      <c r="J19" s="56"/>
      <c r="K19" s="57" t="s">
        <v>52</v>
      </c>
      <c r="L19" s="58" t="s">
        <v>56</v>
      </c>
      <c r="M19" s="58" t="s">
        <v>57</v>
      </c>
      <c r="N19" s="59" t="s">
        <v>58</v>
      </c>
      <c r="P19" s="25" t="s">
        <v>48</v>
      </c>
      <c r="Q19" s="32">
        <v>8.0</v>
      </c>
      <c r="R19" s="32">
        <v>5.0</v>
      </c>
      <c r="S19" s="33">
        <v>10.0</v>
      </c>
      <c r="T19" s="34"/>
    </row>
    <row r="20" ht="25.5" customHeight="1" outlineLevel="1">
      <c r="P20" s="60" t="s">
        <v>59</v>
      </c>
      <c r="Q20" s="61">
        <v>106.0</v>
      </c>
      <c r="R20" s="61">
        <v>98.0</v>
      </c>
      <c r="S20" s="62">
        <v>98.0</v>
      </c>
      <c r="T20" s="34"/>
    </row>
    <row r="21" outlineLevel="1"/>
    <row r="22" outlineLevel="1"/>
    <row r="23" outlineLevel="1"/>
    <row r="24" outlineLevel="1"/>
    <row r="25" ht="27.0" customHeight="1" outlineLevel="1">
      <c r="A25" s="63"/>
      <c r="E25" s="63"/>
      <c r="F25" s="63"/>
      <c r="G25" s="63"/>
      <c r="H25" s="63"/>
      <c r="I25" s="64" t="s">
        <v>60</v>
      </c>
      <c r="J25" s="65"/>
      <c r="K25" s="65"/>
      <c r="L25" s="66"/>
      <c r="M25" s="67"/>
      <c r="N25" s="63"/>
      <c r="O25" s="63"/>
      <c r="P25" s="68" t="s">
        <v>8</v>
      </c>
      <c r="Q25" s="69"/>
      <c r="R25" s="69" t="s">
        <v>9</v>
      </c>
      <c r="S25" s="69"/>
      <c r="T25" s="70" t="s">
        <v>10</v>
      </c>
      <c r="U25" s="69"/>
      <c r="V25" s="70" t="s">
        <v>11</v>
      </c>
      <c r="W25" s="71"/>
      <c r="X25" s="63"/>
      <c r="AD25" s="63"/>
      <c r="AE25" s="63"/>
      <c r="AF25" s="63"/>
      <c r="AG25" s="63"/>
      <c r="AH25" s="63"/>
      <c r="AI25" s="63"/>
      <c r="AJ25" s="63"/>
    </row>
    <row r="26" outlineLevel="1">
      <c r="I26" s="28" t="s">
        <v>6</v>
      </c>
      <c r="K26" s="29" t="s">
        <v>7</v>
      </c>
      <c r="L26" s="72">
        <v>0.08</v>
      </c>
      <c r="P26" s="73" t="s">
        <v>6</v>
      </c>
      <c r="Q26" s="26" t="s">
        <v>7</v>
      </c>
      <c r="R26" s="74">
        <v>6.0</v>
      </c>
      <c r="S26" s="75" t="str">
        <f t="shared" ref="S26:S38" si="1">IF(R26&lt;=3,"No aplica o Deficiente",IF(R26&lt;=7,"Cumple pero no destaca","Destaca"))</f>
        <v>Cumple pero no destaca</v>
      </c>
      <c r="T26" s="74">
        <v>7.0</v>
      </c>
      <c r="U26" s="75" t="str">
        <f t="shared" ref="U26:U38" si="2">IF(T26&lt;=3,"No aplica o Deficiente",IF(T26&lt;=7,"Cumple pero no destaca","Destaca"))</f>
        <v>Cumple pero no destaca</v>
      </c>
      <c r="V26" s="74">
        <v>5.0</v>
      </c>
      <c r="W26" s="76" t="str">
        <f t="shared" ref="W26:W38" si="3">IF(V26&lt;=3,"No aplica o Deficiente",IF(V26&lt;=7,"Cumple pero no destaca","Destaca"))</f>
        <v>Cumple pero no destaca</v>
      </c>
    </row>
    <row r="27" outlineLevel="1">
      <c r="I27" s="77"/>
      <c r="K27" s="29" t="s">
        <v>16</v>
      </c>
      <c r="L27" s="72">
        <v>0.04</v>
      </c>
      <c r="P27" s="73"/>
      <c r="Q27" s="26" t="s">
        <v>16</v>
      </c>
      <c r="R27" s="74">
        <v>7.0</v>
      </c>
      <c r="S27" s="75" t="str">
        <f t="shared" si="1"/>
        <v>Cumple pero no destaca</v>
      </c>
      <c r="T27" s="74">
        <v>7.0</v>
      </c>
      <c r="U27" s="75" t="str">
        <f t="shared" si="2"/>
        <v>Cumple pero no destaca</v>
      </c>
      <c r="V27" s="74">
        <v>7.0</v>
      </c>
      <c r="W27" s="76" t="str">
        <f t="shared" si="3"/>
        <v>Cumple pero no destaca</v>
      </c>
    </row>
    <row r="28" outlineLevel="1">
      <c r="I28" s="28" t="s">
        <v>21</v>
      </c>
      <c r="K28" s="29" t="s">
        <v>22</v>
      </c>
      <c r="L28" s="72">
        <v>0.07</v>
      </c>
      <c r="P28" s="73" t="s">
        <v>21</v>
      </c>
      <c r="Q28" s="26" t="s">
        <v>22</v>
      </c>
      <c r="R28" s="74">
        <v>10.0</v>
      </c>
      <c r="S28" s="75" t="str">
        <f t="shared" si="1"/>
        <v>Destaca</v>
      </c>
      <c r="T28" s="74">
        <v>9.0</v>
      </c>
      <c r="U28" s="75" t="str">
        <f t="shared" si="2"/>
        <v>Destaca</v>
      </c>
      <c r="V28" s="74">
        <v>10.0</v>
      </c>
      <c r="W28" s="76" t="str">
        <f t="shared" si="3"/>
        <v>Destaca</v>
      </c>
    </row>
    <row r="29" outlineLevel="1">
      <c r="I29" s="77"/>
      <c r="K29" s="29" t="s">
        <v>28</v>
      </c>
      <c r="L29" s="72">
        <v>0.05</v>
      </c>
      <c r="P29" s="73"/>
      <c r="Q29" s="26" t="s">
        <v>28</v>
      </c>
      <c r="R29" s="74">
        <v>10.0</v>
      </c>
      <c r="S29" s="75" t="str">
        <f t="shared" si="1"/>
        <v>Destaca</v>
      </c>
      <c r="T29" s="74">
        <v>8.0</v>
      </c>
      <c r="U29" s="75" t="str">
        <f t="shared" si="2"/>
        <v>Destaca</v>
      </c>
      <c r="V29" s="74">
        <v>10.0</v>
      </c>
      <c r="W29" s="76" t="str">
        <f t="shared" si="3"/>
        <v>Destaca</v>
      </c>
    </row>
    <row r="30" outlineLevel="1">
      <c r="I30" s="78"/>
      <c r="K30" s="29" t="s">
        <v>25</v>
      </c>
      <c r="L30" s="72">
        <v>0.05</v>
      </c>
      <c r="P30" s="73"/>
      <c r="Q30" s="26" t="s">
        <v>25</v>
      </c>
      <c r="R30" s="74">
        <v>2.0</v>
      </c>
      <c r="S30" s="75" t="str">
        <f t="shared" si="1"/>
        <v>No aplica o Deficiente</v>
      </c>
      <c r="T30" s="74">
        <v>9.0</v>
      </c>
      <c r="U30" s="75" t="str">
        <f t="shared" si="2"/>
        <v>Destaca</v>
      </c>
      <c r="V30" s="74">
        <v>10.0</v>
      </c>
      <c r="W30" s="76" t="str">
        <f t="shared" si="3"/>
        <v>Destaca</v>
      </c>
    </row>
    <row r="31" outlineLevel="1">
      <c r="I31" s="28" t="s">
        <v>35</v>
      </c>
      <c r="K31" s="29" t="s">
        <v>39</v>
      </c>
      <c r="L31" s="72">
        <v>0.05</v>
      </c>
      <c r="P31" s="73" t="s">
        <v>35</v>
      </c>
      <c r="Q31" s="26" t="s">
        <v>39</v>
      </c>
      <c r="R31" s="74">
        <v>6.0</v>
      </c>
      <c r="S31" s="75" t="str">
        <f t="shared" si="1"/>
        <v>Cumple pero no destaca</v>
      </c>
      <c r="T31" s="74">
        <v>8.0</v>
      </c>
      <c r="U31" s="75" t="str">
        <f t="shared" si="2"/>
        <v>Destaca</v>
      </c>
      <c r="V31" s="74">
        <v>4.0</v>
      </c>
      <c r="W31" s="76" t="str">
        <f t="shared" si="3"/>
        <v>Cumple pero no destaca</v>
      </c>
    </row>
    <row r="32" outlineLevel="1">
      <c r="I32" s="78"/>
      <c r="K32" s="29" t="s">
        <v>20</v>
      </c>
      <c r="L32" s="72">
        <v>0.07</v>
      </c>
      <c r="P32" s="73"/>
      <c r="Q32" s="26" t="s">
        <v>20</v>
      </c>
      <c r="R32" s="74">
        <v>10.0</v>
      </c>
      <c r="S32" s="75" t="str">
        <f t="shared" si="1"/>
        <v>Destaca</v>
      </c>
      <c r="T32" s="74">
        <v>9.0</v>
      </c>
      <c r="U32" s="75" t="str">
        <f t="shared" si="2"/>
        <v>Destaca</v>
      </c>
      <c r="V32" s="74">
        <v>3.0</v>
      </c>
      <c r="W32" s="76" t="str">
        <f t="shared" si="3"/>
        <v>No aplica o Deficiente</v>
      </c>
    </row>
    <row r="33" outlineLevel="1">
      <c r="A33" s="79"/>
      <c r="B33" s="79" t="s">
        <v>61</v>
      </c>
      <c r="I33" s="28" t="s">
        <v>44</v>
      </c>
      <c r="K33" s="29" t="s">
        <v>45</v>
      </c>
      <c r="L33" s="72">
        <v>0.1</v>
      </c>
      <c r="P33" s="73" t="s">
        <v>44</v>
      </c>
      <c r="Q33" s="26" t="s">
        <v>45</v>
      </c>
      <c r="R33" s="74">
        <v>10.0</v>
      </c>
      <c r="S33" s="75" t="str">
        <f t="shared" si="1"/>
        <v>Destaca</v>
      </c>
      <c r="T33" s="74">
        <v>8.0</v>
      </c>
      <c r="U33" s="75" t="str">
        <f t="shared" si="2"/>
        <v>Destaca</v>
      </c>
      <c r="V33" s="74">
        <v>10.0</v>
      </c>
      <c r="W33" s="76" t="str">
        <f t="shared" si="3"/>
        <v>Destaca</v>
      </c>
    </row>
    <row r="34" outlineLevel="1">
      <c r="A34" s="79"/>
      <c r="B34" s="79" t="s">
        <v>62</v>
      </c>
      <c r="I34" s="78"/>
      <c r="K34" s="29" t="s">
        <v>46</v>
      </c>
      <c r="L34" s="72">
        <v>0.04</v>
      </c>
      <c r="P34" s="73"/>
      <c r="Q34" s="26" t="s">
        <v>46</v>
      </c>
      <c r="R34" s="74">
        <v>10.0</v>
      </c>
      <c r="S34" s="75" t="str">
        <f t="shared" si="1"/>
        <v>Destaca</v>
      </c>
      <c r="T34" s="74">
        <v>8.0</v>
      </c>
      <c r="U34" s="75" t="str">
        <f t="shared" si="2"/>
        <v>Destaca</v>
      </c>
      <c r="V34" s="74">
        <v>10.0</v>
      </c>
      <c r="W34" s="76" t="str">
        <f t="shared" si="3"/>
        <v>Destaca</v>
      </c>
    </row>
    <row r="35" outlineLevel="1">
      <c r="A35" s="79"/>
      <c r="B35" s="79" t="s">
        <v>63</v>
      </c>
      <c r="I35" s="77"/>
      <c r="K35" s="29" t="s">
        <v>38</v>
      </c>
      <c r="L35" s="72">
        <v>0.03</v>
      </c>
      <c r="P35" s="73"/>
      <c r="Q35" s="26" t="s">
        <v>38</v>
      </c>
      <c r="R35" s="74">
        <v>6.0</v>
      </c>
      <c r="S35" s="75" t="str">
        <f t="shared" si="1"/>
        <v>Cumple pero no destaca</v>
      </c>
      <c r="T35" s="74">
        <v>9.0</v>
      </c>
      <c r="U35" s="75" t="str">
        <f t="shared" si="2"/>
        <v>Destaca</v>
      </c>
      <c r="V35" s="74">
        <v>10.0</v>
      </c>
      <c r="W35" s="76" t="str">
        <f t="shared" si="3"/>
        <v>Destaca</v>
      </c>
    </row>
    <row r="36" outlineLevel="1">
      <c r="I36" s="28" t="s">
        <v>47</v>
      </c>
      <c r="K36" s="29" t="s">
        <v>48</v>
      </c>
      <c r="L36" s="72">
        <v>0.15</v>
      </c>
      <c r="P36" s="73" t="s">
        <v>47</v>
      </c>
      <c r="Q36" s="26" t="s">
        <v>48</v>
      </c>
      <c r="R36" s="74">
        <v>10.0</v>
      </c>
      <c r="S36" s="75" t="str">
        <f t="shared" si="1"/>
        <v>Destaca</v>
      </c>
      <c r="T36" s="74">
        <v>8.0</v>
      </c>
      <c r="U36" s="75" t="str">
        <f t="shared" si="2"/>
        <v>Destaca</v>
      </c>
      <c r="V36" s="74">
        <v>5.0</v>
      </c>
      <c r="W36" s="76" t="str">
        <f t="shared" si="3"/>
        <v>Cumple pero no destaca</v>
      </c>
    </row>
    <row r="37" outlineLevel="1">
      <c r="I37" s="77"/>
      <c r="K37" s="29" t="s">
        <v>43</v>
      </c>
      <c r="L37" s="72">
        <v>0.1</v>
      </c>
      <c r="P37" s="73"/>
      <c r="Q37" s="26" t="s">
        <v>43</v>
      </c>
      <c r="R37" s="74">
        <v>6.0</v>
      </c>
      <c r="S37" s="75" t="str">
        <f t="shared" si="1"/>
        <v>Cumple pero no destaca</v>
      </c>
      <c r="T37" s="74">
        <v>7.0</v>
      </c>
      <c r="U37" s="75" t="str">
        <f t="shared" si="2"/>
        <v>Cumple pero no destaca</v>
      </c>
      <c r="V37" s="74">
        <v>6.0</v>
      </c>
      <c r="W37" s="76" t="str">
        <f t="shared" si="3"/>
        <v>Cumple pero no destaca</v>
      </c>
    </row>
    <row r="38" outlineLevel="1">
      <c r="I38" s="28" t="s">
        <v>51</v>
      </c>
      <c r="K38" s="29" t="s">
        <v>52</v>
      </c>
      <c r="L38" s="72">
        <v>0.17</v>
      </c>
      <c r="P38" s="80" t="s">
        <v>51</v>
      </c>
      <c r="Q38" s="53" t="s">
        <v>49</v>
      </c>
      <c r="R38" s="81">
        <v>5.0</v>
      </c>
      <c r="S38" s="82" t="str">
        <f t="shared" si="1"/>
        <v>Cumple pero no destaca</v>
      </c>
      <c r="T38" s="81">
        <v>9.0</v>
      </c>
      <c r="U38" s="82" t="str">
        <f t="shared" si="2"/>
        <v>Destaca</v>
      </c>
      <c r="V38" s="81">
        <v>8.0</v>
      </c>
      <c r="W38" s="83" t="str">
        <f t="shared" si="3"/>
        <v>Destaca</v>
      </c>
    </row>
    <row r="39" outlineLevel="1">
      <c r="I39" s="84" t="s">
        <v>64</v>
      </c>
      <c r="J39" s="85"/>
      <c r="K39" s="85"/>
      <c r="L39" s="86">
        <f>sum(L26:L38)</f>
        <v>1</v>
      </c>
    </row>
    <row r="40" outlineLevel="1"/>
    <row r="42">
      <c r="B42" s="87" t="s">
        <v>65</v>
      </c>
      <c r="I42" s="87" t="s">
        <v>66</v>
      </c>
      <c r="P42" s="87" t="s">
        <v>67</v>
      </c>
      <c r="X42" s="87" t="s">
        <v>68</v>
      </c>
    </row>
    <row r="45">
      <c r="B45" s="88" t="s">
        <v>69</v>
      </c>
      <c r="C45" s="89" t="s">
        <v>70</v>
      </c>
      <c r="D45" s="90" t="s">
        <v>71</v>
      </c>
      <c r="E45" s="90" t="s">
        <v>72</v>
      </c>
      <c r="F45" s="91" t="s">
        <v>73</v>
      </c>
      <c r="I45" s="88" t="s">
        <v>69</v>
      </c>
      <c r="J45" s="89" t="s">
        <v>70</v>
      </c>
      <c r="K45" s="90" t="s">
        <v>71</v>
      </c>
      <c r="L45" s="90" t="s">
        <v>72</v>
      </c>
      <c r="M45" s="91" t="s">
        <v>73</v>
      </c>
      <c r="P45" s="88" t="s">
        <v>69</v>
      </c>
      <c r="Q45" s="89" t="s">
        <v>70</v>
      </c>
      <c r="R45" s="90" t="s">
        <v>71</v>
      </c>
      <c r="S45" s="90" t="s">
        <v>72</v>
      </c>
      <c r="T45" s="91" t="s">
        <v>73</v>
      </c>
      <c r="X45" s="88" t="s">
        <v>69</v>
      </c>
      <c r="Y45" s="89" t="s">
        <v>70</v>
      </c>
      <c r="Z45" s="90" t="s">
        <v>71</v>
      </c>
      <c r="AA45" s="90" t="s">
        <v>72</v>
      </c>
      <c r="AB45" s="91" t="s">
        <v>73</v>
      </c>
    </row>
    <row r="46">
      <c r="B46" s="92" t="s">
        <v>74</v>
      </c>
      <c r="C46" s="93"/>
      <c r="D46" s="94" t="s">
        <v>75</v>
      </c>
      <c r="E46" s="93"/>
      <c r="F46" s="95"/>
      <c r="I46" s="92" t="s">
        <v>74</v>
      </c>
      <c r="J46" s="93"/>
      <c r="K46" s="93"/>
      <c r="L46" s="93"/>
      <c r="M46" s="96" t="s">
        <v>75</v>
      </c>
      <c r="P46" s="92" t="s">
        <v>74</v>
      </c>
      <c r="Q46" s="93"/>
      <c r="R46" s="93"/>
      <c r="S46" s="93"/>
      <c r="T46" s="96" t="s">
        <v>75</v>
      </c>
      <c r="X46" s="92" t="s">
        <v>74</v>
      </c>
      <c r="Y46" s="93"/>
      <c r="Z46" s="93"/>
      <c r="AA46" s="93"/>
      <c r="AB46" s="96" t="s">
        <v>75</v>
      </c>
    </row>
    <row r="47">
      <c r="B47" s="97" t="s">
        <v>76</v>
      </c>
      <c r="C47" s="98"/>
      <c r="D47" s="94" t="s">
        <v>75</v>
      </c>
      <c r="E47" s="98"/>
      <c r="F47" s="99"/>
      <c r="I47" s="97" t="s">
        <v>76</v>
      </c>
      <c r="J47" s="98"/>
      <c r="K47" s="98"/>
      <c r="L47" s="98"/>
      <c r="M47" s="96" t="s">
        <v>75</v>
      </c>
      <c r="P47" s="97" t="s">
        <v>76</v>
      </c>
      <c r="Q47" s="98"/>
      <c r="R47" s="98"/>
      <c r="S47" s="98"/>
      <c r="T47" s="96" t="s">
        <v>75</v>
      </c>
      <c r="X47" s="97" t="s">
        <v>76</v>
      </c>
      <c r="Y47" s="98"/>
      <c r="Z47" s="98"/>
      <c r="AA47" s="98"/>
      <c r="AB47" s="96" t="s">
        <v>75</v>
      </c>
    </row>
    <row r="48">
      <c r="B48" s="92" t="s">
        <v>77</v>
      </c>
      <c r="C48" s="93"/>
      <c r="D48" s="94" t="s">
        <v>75</v>
      </c>
      <c r="E48" s="93"/>
      <c r="F48" s="95"/>
      <c r="I48" s="92" t="s">
        <v>77</v>
      </c>
      <c r="J48" s="93"/>
      <c r="K48" s="93"/>
      <c r="L48" s="93"/>
      <c r="M48" s="96" t="s">
        <v>75</v>
      </c>
      <c r="P48" s="92" t="s">
        <v>77</v>
      </c>
      <c r="Q48" s="93"/>
      <c r="R48" s="93"/>
      <c r="S48" s="93"/>
      <c r="T48" s="96" t="s">
        <v>75</v>
      </c>
      <c r="X48" s="92" t="s">
        <v>77</v>
      </c>
      <c r="Y48" s="93"/>
      <c r="Z48" s="93"/>
      <c r="AA48" s="93"/>
      <c r="AB48" s="96" t="s">
        <v>75</v>
      </c>
    </row>
    <row r="49">
      <c r="B49" s="97" t="s">
        <v>78</v>
      </c>
      <c r="C49" s="100" t="s">
        <v>75</v>
      </c>
      <c r="D49" s="98"/>
      <c r="E49" s="98"/>
      <c r="F49" s="99"/>
      <c r="I49" s="97" t="s">
        <v>78</v>
      </c>
      <c r="J49" s="98"/>
      <c r="K49" s="98"/>
      <c r="L49" s="98"/>
      <c r="M49" s="96" t="s">
        <v>75</v>
      </c>
      <c r="P49" s="97" t="s">
        <v>78</v>
      </c>
      <c r="Q49" s="98"/>
      <c r="R49" s="98"/>
      <c r="S49" s="98"/>
      <c r="T49" s="96" t="s">
        <v>75</v>
      </c>
      <c r="X49" s="97" t="s">
        <v>78</v>
      </c>
      <c r="Y49" s="98"/>
      <c r="Z49" s="98"/>
      <c r="AA49" s="98"/>
      <c r="AB49" s="96" t="s">
        <v>75</v>
      </c>
    </row>
    <row r="50">
      <c r="B50" s="92" t="s">
        <v>79</v>
      </c>
      <c r="C50" s="100" t="s">
        <v>75</v>
      </c>
      <c r="D50" s="93"/>
      <c r="E50" s="93"/>
      <c r="F50" s="95"/>
      <c r="I50" s="92" t="s">
        <v>79</v>
      </c>
      <c r="J50" s="93"/>
      <c r="K50" s="93"/>
      <c r="L50" s="93"/>
      <c r="M50" s="96" t="s">
        <v>75</v>
      </c>
      <c r="P50" s="92" t="s">
        <v>79</v>
      </c>
      <c r="Q50" s="93"/>
      <c r="R50" s="93"/>
      <c r="S50" s="93"/>
      <c r="T50" s="96" t="s">
        <v>75</v>
      </c>
      <c r="X50" s="92" t="s">
        <v>79</v>
      </c>
      <c r="Y50" s="93"/>
      <c r="Z50" s="93"/>
      <c r="AA50" s="93"/>
      <c r="AB50" s="96" t="s">
        <v>75</v>
      </c>
    </row>
    <row r="51">
      <c r="B51" s="97" t="s">
        <v>80</v>
      </c>
      <c r="C51" s="100" t="s">
        <v>75</v>
      </c>
      <c r="D51" s="98"/>
      <c r="E51" s="98"/>
      <c r="F51" s="99"/>
      <c r="I51" s="97" t="s">
        <v>80</v>
      </c>
      <c r="J51" s="98"/>
      <c r="K51" s="98"/>
      <c r="L51" s="98"/>
      <c r="M51" s="96" t="s">
        <v>75</v>
      </c>
      <c r="P51" s="97" t="s">
        <v>80</v>
      </c>
      <c r="Q51" s="98"/>
      <c r="R51" s="98"/>
      <c r="S51" s="98"/>
      <c r="T51" s="96" t="s">
        <v>75</v>
      </c>
      <c r="X51" s="97" t="s">
        <v>80</v>
      </c>
      <c r="Y51" s="98"/>
      <c r="Z51" s="98"/>
      <c r="AA51" s="98"/>
      <c r="AB51" s="96" t="s">
        <v>75</v>
      </c>
    </row>
    <row r="52">
      <c r="B52" s="92" t="s">
        <v>81</v>
      </c>
      <c r="C52" s="93"/>
      <c r="D52" s="93"/>
      <c r="E52" s="93"/>
      <c r="F52" s="95"/>
      <c r="I52" s="92" t="s">
        <v>81</v>
      </c>
      <c r="J52" s="93"/>
      <c r="K52" s="93"/>
      <c r="L52" s="101" t="s">
        <v>75</v>
      </c>
      <c r="M52" s="95"/>
      <c r="P52" s="92" t="s">
        <v>81</v>
      </c>
      <c r="Q52" s="93"/>
      <c r="R52" s="93"/>
      <c r="S52" s="93"/>
      <c r="T52" s="96" t="s">
        <v>75</v>
      </c>
      <c r="X52" s="92" t="s">
        <v>81</v>
      </c>
      <c r="Y52" s="93"/>
      <c r="Z52" s="93"/>
      <c r="AA52" s="93"/>
      <c r="AB52" s="96" t="s">
        <v>75</v>
      </c>
    </row>
    <row r="53">
      <c r="B53" s="97" t="s">
        <v>82</v>
      </c>
      <c r="C53" s="98"/>
      <c r="D53" s="98"/>
      <c r="E53" s="98"/>
      <c r="F53" s="99"/>
      <c r="I53" s="97" t="s">
        <v>82</v>
      </c>
      <c r="J53" s="98"/>
      <c r="K53" s="94" t="s">
        <v>75</v>
      </c>
      <c r="L53" s="98"/>
      <c r="M53" s="99"/>
      <c r="P53" s="97" t="s">
        <v>82</v>
      </c>
      <c r="Q53" s="98"/>
      <c r="R53" s="98"/>
      <c r="S53" s="98"/>
      <c r="T53" s="96" t="s">
        <v>75</v>
      </c>
      <c r="X53" s="97" t="s">
        <v>82</v>
      </c>
      <c r="Y53" s="98"/>
      <c r="Z53" s="98"/>
      <c r="AA53" s="98"/>
      <c r="AB53" s="96" t="s">
        <v>75</v>
      </c>
    </row>
    <row r="54">
      <c r="B54" s="92" t="s">
        <v>83</v>
      </c>
      <c r="C54" s="93"/>
      <c r="D54" s="93"/>
      <c r="E54" s="93"/>
      <c r="F54" s="95"/>
      <c r="I54" s="92" t="s">
        <v>83</v>
      </c>
      <c r="J54" s="93"/>
      <c r="K54" s="94" t="s">
        <v>75</v>
      </c>
      <c r="L54" s="93"/>
      <c r="M54" s="95"/>
      <c r="P54" s="92" t="s">
        <v>83</v>
      </c>
      <c r="Q54" s="93"/>
      <c r="R54" s="93"/>
      <c r="S54" s="93"/>
      <c r="T54" s="96" t="s">
        <v>75</v>
      </c>
      <c r="X54" s="92" t="s">
        <v>83</v>
      </c>
      <c r="Y54" s="93"/>
      <c r="Z54" s="93"/>
      <c r="AA54" s="93"/>
      <c r="AB54" s="96" t="s">
        <v>75</v>
      </c>
    </row>
    <row r="55">
      <c r="B55" s="97" t="s">
        <v>84</v>
      </c>
      <c r="C55" s="98"/>
      <c r="D55" s="98"/>
      <c r="E55" s="98"/>
      <c r="F55" s="99"/>
      <c r="I55" s="97" t="s">
        <v>84</v>
      </c>
      <c r="J55" s="98"/>
      <c r="K55" s="98"/>
      <c r="L55" s="101" t="s">
        <v>75</v>
      </c>
      <c r="M55" s="99"/>
      <c r="P55" s="97" t="s">
        <v>84</v>
      </c>
      <c r="Q55" s="98"/>
      <c r="R55" s="98"/>
      <c r="S55" s="98"/>
      <c r="T55" s="96" t="s">
        <v>75</v>
      </c>
      <c r="X55" s="97" t="s">
        <v>84</v>
      </c>
      <c r="Y55" s="98"/>
      <c r="Z55" s="98"/>
      <c r="AA55" s="98"/>
      <c r="AB55" s="96" t="s">
        <v>75</v>
      </c>
    </row>
    <row r="56">
      <c r="B56" s="92" t="s">
        <v>85</v>
      </c>
      <c r="C56" s="93"/>
      <c r="D56" s="93"/>
      <c r="E56" s="93"/>
      <c r="F56" s="95"/>
      <c r="I56" s="92" t="s">
        <v>85</v>
      </c>
      <c r="J56" s="100" t="s">
        <v>75</v>
      </c>
      <c r="K56" s="93"/>
      <c r="L56" s="93"/>
      <c r="M56" s="95"/>
      <c r="P56" s="92" t="s">
        <v>85</v>
      </c>
      <c r="Q56" s="93"/>
      <c r="R56" s="94" t="s">
        <v>75</v>
      </c>
      <c r="S56" s="93"/>
      <c r="T56" s="95"/>
      <c r="X56" s="92" t="s">
        <v>85</v>
      </c>
      <c r="Y56" s="93"/>
      <c r="Z56" s="93"/>
      <c r="AA56" s="93"/>
      <c r="AB56" s="96" t="s">
        <v>75</v>
      </c>
    </row>
    <row r="57">
      <c r="B57" s="97" t="s">
        <v>86</v>
      </c>
      <c r="C57" s="98"/>
      <c r="D57" s="98"/>
      <c r="E57" s="98"/>
      <c r="F57" s="99"/>
      <c r="I57" s="97" t="s">
        <v>86</v>
      </c>
      <c r="J57" s="100" t="s">
        <v>75</v>
      </c>
      <c r="K57" s="98"/>
      <c r="L57" s="98"/>
      <c r="M57" s="99"/>
      <c r="P57" s="97" t="s">
        <v>86</v>
      </c>
      <c r="Q57" s="98"/>
      <c r="R57" s="94" t="s">
        <v>75</v>
      </c>
      <c r="S57" s="98"/>
      <c r="T57" s="99"/>
      <c r="X57" s="97" t="s">
        <v>86</v>
      </c>
      <c r="Y57" s="98"/>
      <c r="Z57" s="98"/>
      <c r="AA57" s="98"/>
      <c r="AB57" s="96" t="s">
        <v>75</v>
      </c>
    </row>
    <row r="58">
      <c r="B58" s="92" t="s">
        <v>87</v>
      </c>
      <c r="C58" s="93"/>
      <c r="D58" s="93"/>
      <c r="E58" s="93"/>
      <c r="F58" s="95"/>
      <c r="I58" s="92" t="s">
        <v>87</v>
      </c>
      <c r="J58" s="93"/>
      <c r="K58" s="93"/>
      <c r="L58" s="101" t="s">
        <v>75</v>
      </c>
      <c r="M58" s="95"/>
      <c r="P58" s="92" t="s">
        <v>87</v>
      </c>
      <c r="Q58" s="93"/>
      <c r="R58" s="94" t="s">
        <v>75</v>
      </c>
      <c r="S58" s="93"/>
      <c r="T58" s="95"/>
      <c r="X58" s="92" t="s">
        <v>87</v>
      </c>
      <c r="Y58" s="93"/>
      <c r="Z58" s="93"/>
      <c r="AA58" s="93"/>
      <c r="AB58" s="96" t="s">
        <v>75</v>
      </c>
    </row>
    <row r="59">
      <c r="B59" s="97" t="s">
        <v>88</v>
      </c>
      <c r="C59" s="98"/>
      <c r="D59" s="98"/>
      <c r="E59" s="98"/>
      <c r="F59" s="99"/>
      <c r="I59" s="97" t="s">
        <v>88</v>
      </c>
      <c r="J59" s="98"/>
      <c r="K59" s="94" t="s">
        <v>75</v>
      </c>
      <c r="L59" s="98"/>
      <c r="M59" s="99"/>
      <c r="P59" s="97" t="s">
        <v>88</v>
      </c>
      <c r="Q59" s="98"/>
      <c r="R59" s="98"/>
      <c r="S59" s="101" t="s">
        <v>75</v>
      </c>
      <c r="T59" s="99"/>
      <c r="X59" s="97" t="s">
        <v>88</v>
      </c>
      <c r="Y59" s="98"/>
      <c r="Z59" s="98"/>
      <c r="AA59" s="98"/>
      <c r="AB59" s="96" t="s">
        <v>75</v>
      </c>
    </row>
    <row r="60">
      <c r="B60" s="92" t="s">
        <v>89</v>
      </c>
      <c r="C60" s="93"/>
      <c r="D60" s="93"/>
      <c r="E60" s="93"/>
      <c r="F60" s="95"/>
      <c r="I60" s="92" t="s">
        <v>89</v>
      </c>
      <c r="J60" s="93"/>
      <c r="K60" s="93"/>
      <c r="L60" s="93"/>
      <c r="M60" s="95"/>
      <c r="P60" s="92" t="s">
        <v>89</v>
      </c>
      <c r="Q60" s="100" t="s">
        <v>75</v>
      </c>
      <c r="R60" s="93"/>
      <c r="S60" s="93"/>
      <c r="T60" s="95"/>
      <c r="X60" s="92" t="s">
        <v>89</v>
      </c>
      <c r="Y60" s="93"/>
      <c r="Z60" s="94" t="s">
        <v>75</v>
      </c>
      <c r="AA60" s="93"/>
      <c r="AB60" s="95"/>
    </row>
    <row r="61">
      <c r="B61" s="97" t="s">
        <v>90</v>
      </c>
      <c r="C61" s="98"/>
      <c r="D61" s="98"/>
      <c r="E61" s="98"/>
      <c r="F61" s="99"/>
      <c r="I61" s="97" t="s">
        <v>90</v>
      </c>
      <c r="J61" s="98"/>
      <c r="K61" s="98"/>
      <c r="L61" s="98"/>
      <c r="M61" s="99"/>
      <c r="P61" s="97" t="s">
        <v>90</v>
      </c>
      <c r="Q61" s="100" t="s">
        <v>75</v>
      </c>
      <c r="R61" s="98"/>
      <c r="S61" s="98"/>
      <c r="T61" s="99"/>
      <c r="X61" s="97" t="s">
        <v>90</v>
      </c>
      <c r="Y61" s="98"/>
      <c r="Z61" s="94" t="s">
        <v>75</v>
      </c>
      <c r="AA61" s="98"/>
      <c r="AB61" s="99"/>
    </row>
    <row r="62">
      <c r="B62" s="92" t="s">
        <v>91</v>
      </c>
      <c r="C62" s="93"/>
      <c r="D62" s="93"/>
      <c r="E62" s="93"/>
      <c r="F62" s="95"/>
      <c r="I62" s="92" t="s">
        <v>91</v>
      </c>
      <c r="J62" s="93"/>
      <c r="K62" s="93"/>
      <c r="L62" s="93"/>
      <c r="M62" s="95"/>
      <c r="P62" s="92" t="s">
        <v>91</v>
      </c>
      <c r="Q62" s="100" t="s">
        <v>75</v>
      </c>
      <c r="R62" s="93"/>
      <c r="S62" s="93"/>
      <c r="T62" s="95"/>
      <c r="X62" s="92" t="s">
        <v>91</v>
      </c>
      <c r="Y62" s="93"/>
      <c r="Z62" s="94" t="s">
        <v>75</v>
      </c>
      <c r="AA62" s="93"/>
      <c r="AB62" s="95"/>
    </row>
    <row r="63">
      <c r="B63" s="102" t="s">
        <v>92</v>
      </c>
      <c r="C63" s="103"/>
      <c r="D63" s="103"/>
      <c r="E63" s="103"/>
      <c r="F63" s="104"/>
      <c r="I63" s="102" t="s">
        <v>92</v>
      </c>
      <c r="J63" s="103"/>
      <c r="K63" s="103"/>
      <c r="L63" s="103"/>
      <c r="M63" s="104"/>
      <c r="P63" s="102" t="s">
        <v>92</v>
      </c>
      <c r="Q63" s="103"/>
      <c r="R63" s="103"/>
      <c r="S63" s="103"/>
      <c r="T63" s="104"/>
      <c r="X63" s="102" t="s">
        <v>92</v>
      </c>
      <c r="Y63" s="105" t="s">
        <v>75</v>
      </c>
      <c r="Z63" s="103"/>
      <c r="AA63" s="103"/>
      <c r="AB63" s="104"/>
    </row>
  </sheetData>
  <mergeCells count="27">
    <mergeCell ref="I6:K6"/>
    <mergeCell ref="I7:J8"/>
    <mergeCell ref="E4:H4"/>
    <mergeCell ref="I9:J11"/>
    <mergeCell ref="I12:J13"/>
    <mergeCell ref="I14:J16"/>
    <mergeCell ref="I17:J18"/>
    <mergeCell ref="I19:J19"/>
    <mergeCell ref="I25:K25"/>
    <mergeCell ref="I26:J27"/>
    <mergeCell ref="I28:J30"/>
    <mergeCell ref="I31:J32"/>
    <mergeCell ref="I33:J35"/>
    <mergeCell ref="I36:J37"/>
    <mergeCell ref="I38:J38"/>
    <mergeCell ref="I39:K39"/>
    <mergeCell ref="B42:H42"/>
    <mergeCell ref="I42:O42"/>
    <mergeCell ref="P42:W42"/>
    <mergeCell ref="X42:AD42"/>
    <mergeCell ref="B2:C2"/>
    <mergeCell ref="B4:D4"/>
    <mergeCell ref="T4:W4"/>
    <mergeCell ref="X4:AD4"/>
    <mergeCell ref="B5:D31"/>
    <mergeCell ref="U6:V6"/>
    <mergeCell ref="Y7:AC37"/>
  </mergeCells>
  <conditionalFormatting sqref="D46:D63 K46:K64 R46:R63 Z46:Z63 AA59 Y60:Y62">
    <cfRule type="notContainsBlanks" dxfId="0" priority="1">
      <formula>LEN(TRIM(D46))&gt;0</formula>
    </cfRule>
  </conditionalFormatting>
  <conditionalFormatting sqref="C45:C63 J45:J64 Q45:Q63 Y45:Y63">
    <cfRule type="notContainsBlanks" dxfId="1" priority="2">
      <formula>LEN(TRIM(C45))&gt;0</formula>
    </cfRule>
  </conditionalFormatting>
  <conditionalFormatting sqref="M46:M63 T46:T63 AB46:AB63">
    <cfRule type="notContainsBlanks" dxfId="2" priority="3">
      <formula>LEN(TRIM(M46))&gt;0</formula>
    </cfRule>
  </conditionalFormatting>
  <conditionalFormatting sqref="L46:L63 S46:S63 AA46:AA63">
    <cfRule type="notContainsBlanks" dxfId="3" priority="4">
      <formula>LEN(TRIM(L46))&gt;0</formula>
    </cfRule>
  </conditionalFormatting>
  <conditionalFormatting sqref="P20:S20">
    <cfRule type="colorScale" priority="5">
      <colorScale>
        <cfvo type="min"/>
        <cfvo type="percentile" val="50"/>
        <cfvo type="max"/>
        <color rgb="FFE06666"/>
        <color rgb="FFFFD666"/>
        <color rgb="FF93C47D"/>
      </colorScale>
    </cfRule>
  </conditionalFormatting>
  <dataValidations>
    <dataValidation type="list" allowBlank="1" showErrorMessage="1" sqref="G18 L19:N19">
      <formula1>"Cifrado de datos,MFA,Cumplimiento de GDPR,Otros - Indicar en la licitación"</formula1>
    </dataValidation>
    <dataValidation type="list" allowBlank="1" showErrorMessage="1" sqref="G7 L8:N8">
      <formula1>"iOS,Android,N/A"</formula1>
    </dataValidation>
    <dataValidation type="list" allowBlank="1" showErrorMessage="1" sqref="G11 L12:N12">
      <formula1>"Outlook,Google Calendar,Slack,Teams,CRM,Otro,NO"</formula1>
    </dataValidation>
    <dataValidation type="list" allowBlank="1" showErrorMessage="1" sqref="G16 L17:N17">
      <formula1>"24/7,Con limitaciones,Solo planes pagos"</formula1>
    </dataValidation>
    <dataValidation type="list" allowBlank="1" showErrorMessage="1" sqref="G8 L9:N9">
      <formula1>"Sí,No"</formula1>
    </dataValidation>
    <dataValidation type="list" allowBlank="1" showErrorMessage="1" sqref="G9:G10 L10:N11 G12:G15 L13:N16">
      <formula1>"Si,No"</formula1>
    </dataValidation>
    <dataValidation type="list" allowBlank="1" showErrorMessage="1" sqref="G17 L18:N18">
      <formula1>"Inglés,Español,Portugues,Otro"</formula1>
    </dataValidation>
    <dataValidation allowBlank="1" showDropDown="1" sqref="I46:I63 X46:X63 P46:P63 B46:B63"/>
    <dataValidation type="list" allowBlank="1" sqref="L46:L63 AA46:AA63 S46:S63">
      <formula1>"✔"</formula1>
    </dataValidation>
    <dataValidation type="list" allowBlank="1" sqref="J46:J63 Y46:Y63 Q46:Q63 C46:C63">
      <formula1>"✔"</formula1>
    </dataValidation>
    <dataValidation type="list" allowBlank="1" showErrorMessage="1" sqref="G6 L7:N7">
      <formula1>"Windows,Mac,N/A"</formula1>
    </dataValidation>
    <dataValidation type="list" allowBlank="1" sqref="M46:M63 AB46:AB63 T46:T63">
      <formula1>"✔"</formula1>
    </dataValidation>
    <dataValidation type="list" allowBlank="1" sqref="E46:F63">
      <formula1>"✔"</formula1>
    </dataValidation>
    <dataValidation type="list" allowBlank="1" sqref="K46:K63 Z46:Z63 R46:R63 D46:D63">
      <formula1>"✔"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